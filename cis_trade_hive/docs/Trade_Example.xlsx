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nh7u\Downloads\"/>
    </mc:Choice>
  </mc:AlternateContent>
  <bookViews>
    <workbookView xWindow="0" yWindow="0" windowWidth="19200" windowHeight="6825"/>
  </bookViews>
  <sheets>
    <sheet name="Simple_trade" sheetId="2" r:id="rId1"/>
  </sheets>
  <calcPr calcId="0"/>
</workbook>
</file>

<file path=xl/calcChain.xml><?xml version="1.0" encoding="utf-8"?>
<calcChain xmlns="http://schemas.openxmlformats.org/spreadsheetml/2006/main">
  <c r="U20" i="2" l="1"/>
  <c r="U21" i="2"/>
  <c r="U22" i="2"/>
  <c r="U23" i="2"/>
  <c r="U19" i="2"/>
  <c r="T20" i="2"/>
  <c r="T21" i="2"/>
  <c r="T22" i="2"/>
  <c r="T23" i="2"/>
  <c r="T19" i="2"/>
  <c r="R23" i="2"/>
  <c r="P23" i="2"/>
  <c r="R14" i="2"/>
  <c r="S23" i="2" s="1"/>
  <c r="Q22" i="2"/>
  <c r="P22" i="2"/>
  <c r="R22" i="2"/>
  <c r="S21" i="2"/>
  <c r="Q21" i="2"/>
  <c r="R21" i="2"/>
  <c r="Q20" i="2"/>
</calcChain>
</file>

<file path=xl/sharedStrings.xml><?xml version="1.0" encoding="utf-8"?>
<sst xmlns="http://schemas.openxmlformats.org/spreadsheetml/2006/main" count="53" uniqueCount="26">
  <si>
    <t>Trade</t>
  </si>
  <si>
    <t>Trade_Type</t>
  </si>
  <si>
    <t>Portf</t>
  </si>
  <si>
    <t>Sec</t>
  </si>
  <si>
    <t>Trade_Date</t>
  </si>
  <si>
    <t>Settle_Date</t>
  </si>
  <si>
    <t>Qty</t>
  </si>
  <si>
    <t>Price</t>
  </si>
  <si>
    <t>Total_Amt</t>
  </si>
  <si>
    <t>Buy</t>
  </si>
  <si>
    <t>ABC</t>
  </si>
  <si>
    <t>BC</t>
  </si>
  <si>
    <t>Position</t>
  </si>
  <si>
    <t>Pos_Id</t>
  </si>
  <si>
    <t>Pos_date</t>
  </si>
  <si>
    <t>Total_Cost</t>
  </si>
  <si>
    <t>Avg_Price</t>
  </si>
  <si>
    <t>Version_id</t>
  </si>
  <si>
    <t>Sell</t>
  </si>
  <si>
    <t>Realsied_PNL</t>
  </si>
  <si>
    <t>Equity_table</t>
  </si>
  <si>
    <t>Date</t>
  </si>
  <si>
    <t>vers_id</t>
  </si>
  <si>
    <t>eq_id</t>
  </si>
  <si>
    <t>market_value</t>
  </si>
  <si>
    <t>Unreliae_pnl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</si>
</sst>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34" borderId="10" xfId="0" applyFill="1" applyBorder="1"/>
    <xf numFmtId="14" fontId="0" fillId="0" borderId="10" xfId="0" applyNumberFormat="1" applyBorder="1"/>
    <xf numFmtId="14" fontId="0" fillId="34" borderId="10" xfId="0" applyNumberFormat="1" applyFill="1" applyBorder="1"/>
    <xf numFmtId="0" fontId="18" fillId="33" borderId="10" xfId="0" applyFont="1" applyFill="1" applyBorder="1"/>
    <xf numFmtId="14" fontId="18" fillId="34" borderId="10" xfId="0" applyNumberFormat="1" applyFont="1" applyFill="1" applyBorder="1"/>
    <xf numFmtId="0" fontId="0" fillId="35" borderId="10" xfId="0" applyFill="1" applyBorder="1"/>
    <xf numFmtId="14" fontId="18" fillId="35" borderId="10" xfId="0" applyNumberFormat="1" applyFont="1" applyFill="1" applyBorder="1"/>
    <xf numFmtId="0" fontId="18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7:U30"/>
  <sheetViews>
    <sheetView tabSelected="1" workbookViewId="0">
      <selection activeCell="H27" sqref="H27"/>
    </sheetView>
  </sheetViews>
  <sheetFormatPr defaultRowHeight="12.75" x14ac:dyDescent="0.2"/>
  <cols>
    <col min="8" max="8" width="11.28515625" bestFit="1" customWidth="1"/>
    <col min="9" max="9" width="9.7109375" bestFit="1" customWidth="1"/>
    <col min="10" max="10" width="10.5703125" bestFit="1" customWidth="1"/>
    <col min="11" max="11" width="10.140625" bestFit="1" customWidth="1"/>
    <col min="14" max="14" width="10.140625" bestFit="1" customWidth="1"/>
    <col min="15" max="15" width="10.7109375" bestFit="1" customWidth="1"/>
    <col min="18" max="18" width="9.85546875" bestFit="1" customWidth="1"/>
    <col min="19" max="19" width="14.5703125" customWidth="1"/>
    <col min="20" max="20" width="11.85546875" bestFit="1" customWidth="1"/>
    <col min="21" max="21" width="11.140625" bestFit="1" customWidth="1"/>
  </cols>
  <sheetData>
    <row r="7" spans="8:21" x14ac:dyDescent="0.2">
      <c r="H7" s="7" t="s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8:21" x14ac:dyDescent="0.2"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8:21" x14ac:dyDescent="0.2">
      <c r="H9" s="1"/>
      <c r="I9" s="1"/>
      <c r="J9" s="1" t="s">
        <v>1</v>
      </c>
      <c r="K9" s="1"/>
      <c r="L9" s="1" t="s">
        <v>2</v>
      </c>
      <c r="M9" s="1" t="s">
        <v>3</v>
      </c>
      <c r="N9" s="1" t="s">
        <v>4</v>
      </c>
      <c r="O9" s="2" t="s">
        <v>5</v>
      </c>
      <c r="P9" s="1" t="s">
        <v>6</v>
      </c>
      <c r="Q9" s="1" t="s">
        <v>7</v>
      </c>
      <c r="R9" s="1" t="s">
        <v>8</v>
      </c>
      <c r="S9" s="1"/>
      <c r="T9" s="1"/>
      <c r="U9" s="1"/>
    </row>
    <row r="10" spans="8:21" x14ac:dyDescent="0.2">
      <c r="H10" s="1"/>
      <c r="I10" s="1"/>
      <c r="J10" s="1" t="s">
        <v>9</v>
      </c>
      <c r="K10" s="1"/>
      <c r="L10" s="1" t="s">
        <v>10</v>
      </c>
      <c r="M10" s="1" t="s">
        <v>11</v>
      </c>
      <c r="N10" s="3">
        <v>46052</v>
      </c>
      <c r="O10" s="4">
        <v>46052</v>
      </c>
      <c r="P10" s="1">
        <v>100</v>
      </c>
      <c r="Q10" s="1">
        <v>2</v>
      </c>
      <c r="R10" s="1">
        <v>200</v>
      </c>
      <c r="S10" s="1"/>
      <c r="T10" s="1"/>
      <c r="U10" s="1"/>
    </row>
    <row r="11" spans="8:21" x14ac:dyDescent="0.2">
      <c r="H11" s="1"/>
      <c r="I11" s="1"/>
      <c r="J11" s="1" t="s">
        <v>9</v>
      </c>
      <c r="K11" s="1"/>
      <c r="L11" s="1" t="s">
        <v>10</v>
      </c>
      <c r="M11" s="1" t="s">
        <v>11</v>
      </c>
      <c r="N11" s="3">
        <v>46052</v>
      </c>
      <c r="O11" s="4">
        <v>46052</v>
      </c>
      <c r="P11" s="1">
        <v>50</v>
      </c>
      <c r="Q11" s="1">
        <v>4</v>
      </c>
      <c r="R11" s="1">
        <v>200</v>
      </c>
      <c r="S11" s="1"/>
      <c r="T11" s="1"/>
      <c r="U11" s="1"/>
    </row>
    <row r="12" spans="8:21" x14ac:dyDescent="0.2">
      <c r="H12" s="1"/>
      <c r="I12" s="1"/>
      <c r="J12" s="1" t="s">
        <v>18</v>
      </c>
      <c r="K12" s="1"/>
      <c r="L12" s="1" t="s">
        <v>10</v>
      </c>
      <c r="M12" s="1" t="s">
        <v>11</v>
      </c>
      <c r="N12" s="3">
        <v>46052</v>
      </c>
      <c r="O12" s="4">
        <v>46052</v>
      </c>
      <c r="P12" s="1">
        <v>100</v>
      </c>
      <c r="Q12" s="1">
        <v>2</v>
      </c>
      <c r="R12" s="1">
        <v>200</v>
      </c>
      <c r="S12" s="1"/>
      <c r="T12" s="1"/>
      <c r="U12" s="1"/>
    </row>
    <row r="13" spans="8:21" x14ac:dyDescent="0.2">
      <c r="H13" s="1"/>
      <c r="I13" s="1"/>
      <c r="J13" s="1" t="s">
        <v>9</v>
      </c>
      <c r="K13" s="1"/>
      <c r="L13" s="1" t="s">
        <v>10</v>
      </c>
      <c r="M13" s="1" t="s">
        <v>11</v>
      </c>
      <c r="N13" s="3">
        <v>46052</v>
      </c>
      <c r="O13" s="4">
        <v>46052</v>
      </c>
      <c r="P13" s="1">
        <v>50</v>
      </c>
      <c r="Q13" s="1">
        <v>3</v>
      </c>
      <c r="R13" s="1">
        <v>150</v>
      </c>
      <c r="S13" s="1"/>
      <c r="T13" s="1"/>
      <c r="U13" s="1"/>
    </row>
    <row r="14" spans="8:21" x14ac:dyDescent="0.2">
      <c r="H14" s="1"/>
      <c r="I14" s="1"/>
      <c r="J14" s="1" t="s">
        <v>18</v>
      </c>
      <c r="K14" s="1"/>
      <c r="L14" s="1" t="s">
        <v>10</v>
      </c>
      <c r="M14" s="1" t="s">
        <v>11</v>
      </c>
      <c r="N14" s="3">
        <v>46052</v>
      </c>
      <c r="O14" s="4">
        <v>46052</v>
      </c>
      <c r="P14" s="1">
        <v>100</v>
      </c>
      <c r="Q14" s="1">
        <v>2.5</v>
      </c>
      <c r="R14" s="1">
        <f>P14*Q14</f>
        <v>250</v>
      </c>
      <c r="S14" s="1"/>
      <c r="T14" s="1"/>
      <c r="U14" s="1"/>
    </row>
    <row r="15" spans="8:21" x14ac:dyDescent="0.2"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8:21" x14ac:dyDescent="0.2"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8:21" x14ac:dyDescent="0.2">
      <c r="H17" s="7" t="s">
        <v>12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8:21" x14ac:dyDescent="0.2">
      <c r="H18" s="1"/>
      <c r="I18" s="1" t="s">
        <v>17</v>
      </c>
      <c r="J18" s="1" t="s">
        <v>13</v>
      </c>
      <c r="K18" s="2" t="s">
        <v>14</v>
      </c>
      <c r="L18" s="1" t="s">
        <v>2</v>
      </c>
      <c r="M18" s="1" t="s">
        <v>3</v>
      </c>
      <c r="N18" s="1"/>
      <c r="O18" s="1"/>
      <c r="P18" s="1" t="s">
        <v>6</v>
      </c>
      <c r="Q18" s="1" t="s">
        <v>16</v>
      </c>
      <c r="R18" s="1" t="s">
        <v>15</v>
      </c>
      <c r="S18" s="1" t="s">
        <v>19</v>
      </c>
      <c r="T18" s="1" t="s">
        <v>24</v>
      </c>
      <c r="U18" s="1" t="s">
        <v>25</v>
      </c>
    </row>
    <row r="19" spans="8:21" x14ac:dyDescent="0.2">
      <c r="H19" s="1"/>
      <c r="I19" s="1">
        <v>1</v>
      </c>
      <c r="J19" s="5">
        <v>1</v>
      </c>
      <c r="K19" s="6">
        <v>46052</v>
      </c>
      <c r="L19" s="5" t="s">
        <v>10</v>
      </c>
      <c r="M19" s="5" t="s">
        <v>11</v>
      </c>
      <c r="N19" s="5"/>
      <c r="O19" s="5"/>
      <c r="P19" s="5">
        <v>100</v>
      </c>
      <c r="Q19" s="5">
        <v>2</v>
      </c>
      <c r="R19" s="5">
        <v>200</v>
      </c>
      <c r="S19" s="5">
        <v>0</v>
      </c>
      <c r="T19" s="1">
        <f>P19*$L$28</f>
        <v>1000</v>
      </c>
      <c r="U19" s="1">
        <f>T19-R19</f>
        <v>800</v>
      </c>
    </row>
    <row r="20" spans="8:21" x14ac:dyDescent="0.2">
      <c r="H20" s="1"/>
      <c r="I20" s="1">
        <v>2</v>
      </c>
      <c r="J20" s="1">
        <v>1</v>
      </c>
      <c r="K20" s="6">
        <v>46052</v>
      </c>
      <c r="L20" s="5" t="s">
        <v>10</v>
      </c>
      <c r="M20" s="5" t="s">
        <v>11</v>
      </c>
      <c r="N20" s="5"/>
      <c r="O20" s="5"/>
      <c r="P20" s="1">
        <v>150</v>
      </c>
      <c r="Q20" s="1">
        <f>400/150</f>
        <v>2.6666666666666665</v>
      </c>
      <c r="R20" s="1">
        <v>400</v>
      </c>
      <c r="S20" s="1">
        <v>0</v>
      </c>
      <c r="T20" s="1">
        <f t="shared" ref="T20:T23" si="0">P20*$L$28</f>
        <v>1500</v>
      </c>
      <c r="U20" s="1">
        <f t="shared" ref="U20:U23" si="1">T20-R20</f>
        <v>1100</v>
      </c>
    </row>
    <row r="21" spans="8:21" x14ac:dyDescent="0.2">
      <c r="H21" s="1"/>
      <c r="I21" s="7">
        <v>3</v>
      </c>
      <c r="J21" s="7">
        <v>1</v>
      </c>
      <c r="K21" s="8">
        <v>46052</v>
      </c>
      <c r="L21" s="9" t="s">
        <v>10</v>
      </c>
      <c r="M21" s="9" t="s">
        <v>11</v>
      </c>
      <c r="N21" s="9"/>
      <c r="O21" s="9"/>
      <c r="P21" s="7">
        <v>50</v>
      </c>
      <c r="Q21" s="7">
        <f>R21/P21</f>
        <v>2.6666666666666674</v>
      </c>
      <c r="R21" s="7">
        <f>R20-(P12*Q20)</f>
        <v>133.33333333333337</v>
      </c>
      <c r="S21" s="1">
        <f>R12-(R20-R21)</f>
        <v>-66.666666666666629</v>
      </c>
      <c r="T21" s="1">
        <f t="shared" si="0"/>
        <v>500</v>
      </c>
      <c r="U21" s="1">
        <f t="shared" si="1"/>
        <v>366.66666666666663</v>
      </c>
    </row>
    <row r="22" spans="8:21" x14ac:dyDescent="0.2">
      <c r="H22" s="1"/>
      <c r="I22" s="1">
        <v>4</v>
      </c>
      <c r="J22" s="1">
        <v>1</v>
      </c>
      <c r="K22" s="6">
        <v>46052</v>
      </c>
      <c r="L22" s="5" t="s">
        <v>10</v>
      </c>
      <c r="M22" s="5" t="s">
        <v>11</v>
      </c>
      <c r="N22" s="5"/>
      <c r="O22" s="5"/>
      <c r="P22" s="1">
        <f>P21+P13</f>
        <v>100</v>
      </c>
      <c r="Q22" s="1">
        <f>R22/P22</f>
        <v>2.8333333333333339</v>
      </c>
      <c r="R22" s="1">
        <f>R21+R13</f>
        <v>283.33333333333337</v>
      </c>
      <c r="S22" s="1">
        <v>-66.666666666666629</v>
      </c>
      <c r="T22" s="1">
        <f t="shared" si="0"/>
        <v>1000</v>
      </c>
      <c r="U22" s="1">
        <f t="shared" si="1"/>
        <v>716.66666666666663</v>
      </c>
    </row>
    <row r="23" spans="8:21" x14ac:dyDescent="0.2">
      <c r="H23" s="1"/>
      <c r="I23" s="1">
        <v>5</v>
      </c>
      <c r="J23" s="1">
        <v>1</v>
      </c>
      <c r="K23" s="8">
        <v>46052</v>
      </c>
      <c r="L23" s="9" t="s">
        <v>10</v>
      </c>
      <c r="M23" s="9" t="s">
        <v>11</v>
      </c>
      <c r="N23" s="9"/>
      <c r="O23" s="9"/>
      <c r="P23" s="1">
        <f>P22-P14</f>
        <v>0</v>
      </c>
      <c r="Q23" s="7">
        <v>0</v>
      </c>
      <c r="R23" s="7">
        <f>R22-(P14*Q22)</f>
        <v>0</v>
      </c>
      <c r="S23" s="1">
        <f>R14-(R22-R23)</f>
        <v>-33.333333333333371</v>
      </c>
      <c r="T23" s="1">
        <f t="shared" si="0"/>
        <v>0</v>
      </c>
      <c r="U23" s="1">
        <f t="shared" si="1"/>
        <v>0</v>
      </c>
    </row>
    <row r="24" spans="8:21" x14ac:dyDescent="0.2"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8:21" x14ac:dyDescent="0.2"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8:21" x14ac:dyDescent="0.2"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8:21" x14ac:dyDescent="0.2">
      <c r="H27" s="7" t="s">
        <v>20</v>
      </c>
      <c r="I27" s="1" t="s">
        <v>22</v>
      </c>
      <c r="J27" s="1" t="s">
        <v>23</v>
      </c>
      <c r="K27" s="1" t="s">
        <v>21</v>
      </c>
      <c r="L27" s="1" t="s">
        <v>7</v>
      </c>
      <c r="M27" s="1" t="s">
        <v>3</v>
      </c>
      <c r="N27" s="1"/>
      <c r="O27" s="1"/>
      <c r="P27" s="1"/>
      <c r="Q27" s="1"/>
      <c r="R27" s="1"/>
      <c r="S27" s="1"/>
      <c r="T27" s="1"/>
      <c r="U27" s="1"/>
    </row>
    <row r="28" spans="8:21" x14ac:dyDescent="0.2">
      <c r="H28" s="1"/>
      <c r="I28" s="1">
        <v>1</v>
      </c>
      <c r="J28" s="1">
        <v>1</v>
      </c>
      <c r="K28" s="6">
        <v>46052</v>
      </c>
      <c r="L28" s="1">
        <v>10</v>
      </c>
      <c r="M28" s="1" t="s">
        <v>11</v>
      </c>
      <c r="N28" s="1"/>
      <c r="O28" s="1"/>
      <c r="P28" s="1"/>
      <c r="Q28" s="1"/>
      <c r="R28" s="1"/>
      <c r="S28" s="1"/>
      <c r="T28" s="1"/>
      <c r="U28" s="1"/>
    </row>
    <row r="29" spans="8:21" x14ac:dyDescent="0.2">
      <c r="H29" s="1"/>
      <c r="I29" s="1"/>
      <c r="J29" s="1"/>
      <c r="K29" s="3">
        <v>46047</v>
      </c>
      <c r="L29" s="1">
        <v>7</v>
      </c>
      <c r="M29" s="1"/>
      <c r="N29" s="1"/>
      <c r="O29" s="1"/>
      <c r="P29" s="1"/>
      <c r="Q29" s="1"/>
      <c r="R29" s="1"/>
      <c r="S29" s="1"/>
      <c r="T29" s="1"/>
      <c r="U29" s="1"/>
    </row>
    <row r="30" spans="8:21" x14ac:dyDescent="0.2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Simple_trade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HOSALLI (TS)</dc:creator>
  <cp:lastModifiedBy>Prakash HOSALLI (TS)</cp:lastModifiedBy>
  <dcterms:created xsi:type="dcterms:W3CDTF">2026-01-30T03:57:09Z</dcterms:created>
  <dcterms:modified xsi:type="dcterms:W3CDTF">2026-01-30T07:06:59Z</dcterms:modified>
</cp:coreProperties>
</file>