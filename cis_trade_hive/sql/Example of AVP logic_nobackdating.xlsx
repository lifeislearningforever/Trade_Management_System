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cka9\Downloads\Portia\"/>
    </mc:Choice>
  </mc:AlternateContent>
  <xr:revisionPtr revIDLastSave="0" documentId="13_ncr:1_{6470A5C7-DCC7-4335-AA65-C8C5CE2C0CFD}" xr6:coauthVersionLast="47" xr6:coauthVersionMax="47" xr10:uidLastSave="{00000000-0000-0000-0000-000000000000}"/>
  <bookViews>
    <workbookView xWindow="51480" yWindow="-120" windowWidth="29040" windowHeight="15840" xr2:uid="{A78DAEF0-687B-4B53-B061-9896D9310E86}"/>
  </bookViews>
  <sheets>
    <sheet name="Ex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0" i="1" l="1"/>
  <c r="P50" i="1"/>
  <c r="Q50" i="1" s="1"/>
  <c r="O50" i="1"/>
  <c r="R50" i="1" s="1"/>
  <c r="N50" i="1"/>
  <c r="T49" i="1"/>
  <c r="P49" i="1"/>
  <c r="Q49" i="1" s="1"/>
  <c r="O49" i="1"/>
  <c r="N49" i="1"/>
  <c r="J50" i="1"/>
  <c r="J49" i="1"/>
  <c r="T48" i="1"/>
  <c r="R49" i="1"/>
  <c r="S48" i="1"/>
  <c r="R48" i="1"/>
  <c r="Q48" i="1"/>
  <c r="P48" i="1"/>
  <c r="O48" i="1"/>
  <c r="N48" i="1"/>
  <c r="L50" i="1"/>
  <c r="K50" i="1"/>
  <c r="M50" i="1" s="1"/>
  <c r="L49" i="1"/>
  <c r="K49" i="1"/>
  <c r="L48" i="1"/>
  <c r="M48" i="1" s="1"/>
  <c r="K48" i="1"/>
  <c r="J48" i="1"/>
  <c r="I50" i="1"/>
  <c r="I49" i="1"/>
  <c r="I48" i="1"/>
  <c r="H48" i="1"/>
  <c r="H49" i="1" s="1"/>
  <c r="H43" i="1"/>
  <c r="H39" i="1"/>
  <c r="H40" i="1" s="1"/>
  <c r="H41" i="1" s="1"/>
  <c r="P36" i="1"/>
  <c r="P37" i="1" s="1"/>
  <c r="P38" i="1" s="1"/>
  <c r="P39" i="1" s="1"/>
  <c r="O36" i="1"/>
  <c r="O37" i="1" s="1"/>
  <c r="O38" i="1" s="1"/>
  <c r="O39" i="1" s="1"/>
  <c r="O40" i="1" s="1"/>
  <c r="H36" i="1"/>
  <c r="H37" i="1" s="1"/>
  <c r="H34" i="1"/>
  <c r="H27" i="1"/>
  <c r="P27" i="1"/>
  <c r="P28" i="1" s="1"/>
  <c r="P29" i="1" s="1"/>
  <c r="O27" i="1"/>
  <c r="B29" i="1"/>
  <c r="B32" i="1" s="1"/>
  <c r="B34" i="1" s="1"/>
  <c r="B36" i="1" s="1"/>
  <c r="B38" i="1" s="1"/>
  <c r="B41" i="1" s="1"/>
  <c r="H25" i="1"/>
  <c r="T24" i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J23" i="1"/>
  <c r="J24" i="1" s="1"/>
  <c r="J25" i="1" s="1"/>
  <c r="J26" i="1" s="1"/>
  <c r="J27" i="1" s="1"/>
  <c r="Q23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23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N24" i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F14" i="1"/>
  <c r="D14" i="1"/>
  <c r="F13" i="1"/>
  <c r="D13" i="1"/>
  <c r="P24" i="1"/>
  <c r="P25" i="1" s="1"/>
  <c r="P26" i="1" s="1"/>
  <c r="O24" i="1"/>
  <c r="O25" i="1" s="1"/>
  <c r="B26" i="1"/>
  <c r="F12" i="1"/>
  <c r="D12" i="1"/>
  <c r="J28" i="1"/>
  <c r="J29" i="1" s="1"/>
  <c r="D16" i="1"/>
  <c r="F16" i="1"/>
  <c r="F9" i="1"/>
  <c r="F11" i="1"/>
  <c r="P30" i="1"/>
  <c r="P31" i="1" s="1"/>
  <c r="P32" i="1" s="1"/>
  <c r="P33" i="1" s="1"/>
  <c r="P34" i="1" s="1"/>
  <c r="P35" i="1" s="1"/>
  <c r="O30" i="1"/>
  <c r="R30" i="1" s="1"/>
  <c r="I30" i="1"/>
  <c r="L30" i="1" s="1"/>
  <c r="I28" i="1"/>
  <c r="I23" i="1"/>
  <c r="L23" i="1" s="1"/>
  <c r="B25" i="1"/>
  <c r="B28" i="1" s="1"/>
  <c r="B30" i="1" s="1"/>
  <c r="B33" i="1" s="1"/>
  <c r="B35" i="1" s="1"/>
  <c r="B37" i="1" s="1"/>
  <c r="B40" i="1" s="1"/>
  <c r="B44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F15" i="1"/>
  <c r="D11" i="1"/>
  <c r="D10" i="1"/>
  <c r="D9" i="1"/>
  <c r="D8" i="1"/>
  <c r="F10" i="1"/>
  <c r="F8" i="1"/>
  <c r="S50" i="1" l="1"/>
  <c r="S49" i="1"/>
  <c r="M49" i="1"/>
  <c r="P40" i="1"/>
  <c r="P41" i="1" s="1"/>
  <c r="P42" i="1" s="1"/>
  <c r="P43" i="1" s="1"/>
  <c r="P44" i="1" s="1"/>
  <c r="O41" i="1"/>
  <c r="R41" i="1"/>
  <c r="R39" i="1"/>
  <c r="Q39" i="1"/>
  <c r="S39" i="1" s="1"/>
  <c r="M65" i="1"/>
  <c r="B39" i="1"/>
  <c r="R27" i="1"/>
  <c r="Q38" i="1"/>
  <c r="R38" i="1"/>
  <c r="M54" i="1"/>
  <c r="M61" i="1"/>
  <c r="M53" i="1"/>
  <c r="S54" i="1"/>
  <c r="S62" i="1"/>
  <c r="M62" i="1"/>
  <c r="S23" i="1"/>
  <c r="S63" i="1"/>
  <c r="S64" i="1"/>
  <c r="O31" i="1"/>
  <c r="K28" i="1"/>
  <c r="I31" i="1"/>
  <c r="O28" i="1"/>
  <c r="Q27" i="1"/>
  <c r="Q37" i="1"/>
  <c r="M57" i="1"/>
  <c r="I29" i="1"/>
  <c r="L29" i="1" s="1"/>
  <c r="S57" i="1"/>
  <c r="M64" i="1"/>
  <c r="M56" i="1"/>
  <c r="S65" i="1"/>
  <c r="M63" i="1"/>
  <c r="M55" i="1"/>
  <c r="O26" i="1"/>
  <c r="R26" i="1" s="1"/>
  <c r="Q25" i="1"/>
  <c r="S56" i="1"/>
  <c r="Q24" i="1"/>
  <c r="M60" i="1"/>
  <c r="K23" i="1"/>
  <c r="M23" i="1" s="1"/>
  <c r="R37" i="1"/>
  <c r="Q30" i="1"/>
  <c r="S30" i="1" s="1"/>
  <c r="S58" i="1"/>
  <c r="R40" i="1"/>
  <c r="R24" i="1"/>
  <c r="S55" i="1"/>
  <c r="M58" i="1"/>
  <c r="R25" i="1"/>
  <c r="S53" i="1"/>
  <c r="S59" i="1"/>
  <c r="S60" i="1"/>
  <c r="S61" i="1"/>
  <c r="M59" i="1"/>
  <c r="L28" i="1"/>
  <c r="I24" i="1"/>
  <c r="J37" i="1"/>
  <c r="J30" i="1"/>
  <c r="J31" i="1" s="1"/>
  <c r="J32" i="1" s="1"/>
  <c r="Q40" i="1"/>
  <c r="B42" i="1" l="1"/>
  <c r="B43" i="1"/>
  <c r="S38" i="1"/>
  <c r="Q41" i="1"/>
  <c r="S41" i="1" s="1"/>
  <c r="O42" i="1"/>
  <c r="T41" i="1"/>
  <c r="T42" i="1" s="1"/>
  <c r="T43" i="1" s="1"/>
  <c r="T44" i="1" s="1"/>
  <c r="T47" i="1" s="1"/>
  <c r="N37" i="1"/>
  <c r="N38" i="1" s="1"/>
  <c r="N39" i="1" s="1"/>
  <c r="N40" i="1" s="1"/>
  <c r="J38" i="1"/>
  <c r="M28" i="1"/>
  <c r="S24" i="1"/>
  <c r="J33" i="1"/>
  <c r="J35" i="1" s="1"/>
  <c r="J36" i="1" s="1"/>
  <c r="J34" i="1"/>
  <c r="S37" i="1"/>
  <c r="K31" i="1"/>
  <c r="L31" i="1"/>
  <c r="I32" i="1"/>
  <c r="I34" i="1" s="1"/>
  <c r="O32" i="1"/>
  <c r="O33" i="1" s="1"/>
  <c r="R31" i="1"/>
  <c r="Q31" i="1"/>
  <c r="R28" i="1"/>
  <c r="O29" i="1"/>
  <c r="Q28" i="1"/>
  <c r="S25" i="1"/>
  <c r="K29" i="1"/>
  <c r="M29" i="1" s="1"/>
  <c r="K30" i="1"/>
  <c r="M30" i="1" s="1"/>
  <c r="I25" i="1"/>
  <c r="K24" i="1"/>
  <c r="L24" i="1"/>
  <c r="Q26" i="1"/>
  <c r="S26" i="1" s="1"/>
  <c r="S40" i="1"/>
  <c r="O43" i="1" l="1"/>
  <c r="Q42" i="1"/>
  <c r="R42" i="1"/>
  <c r="S42" i="1" s="1"/>
  <c r="J39" i="1"/>
  <c r="R33" i="1"/>
  <c r="O34" i="1"/>
  <c r="Q33" i="1"/>
  <c r="L34" i="1"/>
  <c r="K34" i="1"/>
  <c r="S31" i="1"/>
  <c r="R32" i="1"/>
  <c r="Q32" i="1"/>
  <c r="L32" i="1"/>
  <c r="I33" i="1"/>
  <c r="K32" i="1"/>
  <c r="M31" i="1"/>
  <c r="S28" i="1"/>
  <c r="M24" i="1"/>
  <c r="R29" i="1"/>
  <c r="Q29" i="1"/>
  <c r="K25" i="1"/>
  <c r="I26" i="1"/>
  <c r="L25" i="1"/>
  <c r="P47" i="1"/>
  <c r="R43" i="1" l="1"/>
  <c r="O44" i="1"/>
  <c r="Q43" i="1"/>
  <c r="S29" i="1"/>
  <c r="M32" i="1"/>
  <c r="O35" i="1"/>
  <c r="R34" i="1"/>
  <c r="Q34" i="1"/>
  <c r="S33" i="1"/>
  <c r="M34" i="1"/>
  <c r="L33" i="1"/>
  <c r="I35" i="1"/>
  <c r="I36" i="1" s="1"/>
  <c r="I37" i="1" s="1"/>
  <c r="K33" i="1"/>
  <c r="S32" i="1"/>
  <c r="M25" i="1"/>
  <c r="I27" i="1"/>
  <c r="K26" i="1"/>
  <c r="L26" i="1"/>
  <c r="S27" i="1"/>
  <c r="O47" i="1" l="1"/>
  <c r="R44" i="1"/>
  <c r="Q44" i="1"/>
  <c r="S44" i="1" s="1"/>
  <c r="I38" i="1"/>
  <c r="L37" i="1"/>
  <c r="K37" i="1"/>
  <c r="M37" i="1" s="1"/>
  <c r="S43" i="1"/>
  <c r="M26" i="1"/>
  <c r="R36" i="1"/>
  <c r="Q36" i="1"/>
  <c r="K36" i="1"/>
  <c r="L36" i="1"/>
  <c r="S34" i="1"/>
  <c r="Q35" i="1"/>
  <c r="R35" i="1"/>
  <c r="M33" i="1"/>
  <c r="L35" i="1"/>
  <c r="K35" i="1"/>
  <c r="K27" i="1"/>
  <c r="L27" i="1"/>
  <c r="L38" i="1" l="1"/>
  <c r="I39" i="1"/>
  <c r="K38" i="1"/>
  <c r="R47" i="1"/>
  <c r="Q47" i="1"/>
  <c r="S47" i="1" s="1"/>
  <c r="M36" i="1"/>
  <c r="S36" i="1"/>
  <c r="S35" i="1"/>
  <c r="M35" i="1"/>
  <c r="M27" i="1"/>
  <c r="M38" i="1" l="1"/>
  <c r="L39" i="1"/>
  <c r="I40" i="1"/>
  <c r="K39" i="1"/>
  <c r="M39" i="1" s="1"/>
  <c r="I41" i="1" l="1"/>
  <c r="L40" i="1"/>
  <c r="J40" i="1"/>
  <c r="J41" i="1" l="1"/>
  <c r="J44" i="1"/>
  <c r="K40" i="1"/>
  <c r="M40" i="1" s="1"/>
  <c r="I42" i="1"/>
  <c r="L41" i="1"/>
  <c r="J42" i="1" l="1"/>
  <c r="J43" i="1" s="1"/>
  <c r="N41" i="1"/>
  <c r="N42" i="1" s="1"/>
  <c r="N43" i="1" s="1"/>
  <c r="N44" i="1" s="1"/>
  <c r="N47" i="1" s="1"/>
  <c r="K41" i="1"/>
  <c r="M41" i="1" s="1"/>
  <c r="L42" i="1"/>
  <c r="I43" i="1"/>
  <c r="J47" i="1"/>
  <c r="I44" i="1" l="1"/>
  <c r="K43" i="1"/>
  <c r="L43" i="1"/>
  <c r="M43" i="1" s="1"/>
  <c r="K42" i="1"/>
  <c r="M42" i="1" s="1"/>
  <c r="I47" i="1" l="1"/>
  <c r="L44" i="1"/>
  <c r="K44" i="1"/>
  <c r="M44" i="1" l="1"/>
  <c r="L47" i="1"/>
  <c r="K47" i="1"/>
  <c r="M47" i="1" l="1"/>
</calcChain>
</file>

<file path=xl/sharedStrings.xml><?xml version="1.0" encoding="utf-8"?>
<sst xmlns="http://schemas.openxmlformats.org/spreadsheetml/2006/main" count="162" uniqueCount="36">
  <si>
    <t>Portfolio A</t>
  </si>
  <si>
    <t>Portfolio Name</t>
  </si>
  <si>
    <t>Security Label</t>
  </si>
  <si>
    <t>Trade Date</t>
  </si>
  <si>
    <t>Settlement Date</t>
  </si>
  <si>
    <t>Buy/Sell</t>
  </si>
  <si>
    <t>Quantity</t>
  </si>
  <si>
    <t>Price</t>
  </si>
  <si>
    <t>TradeID</t>
  </si>
  <si>
    <t>Buy</t>
  </si>
  <si>
    <t>Sell</t>
  </si>
  <si>
    <t>System Date</t>
  </si>
  <si>
    <t>Backdated</t>
  </si>
  <si>
    <t>ABCD</t>
  </si>
  <si>
    <t>Date</t>
  </si>
  <si>
    <t>Trade Date Quantity</t>
  </si>
  <si>
    <t>Settled Date Quantity</t>
  </si>
  <si>
    <t>Trade Date Average Cost</t>
  </si>
  <si>
    <t>Settled Date Average Cost</t>
  </si>
  <si>
    <t>Trade Date Market Value</t>
  </si>
  <si>
    <t>Settled Date Market Value</t>
  </si>
  <si>
    <t>Position Reference</t>
  </si>
  <si>
    <t>After backdated deal</t>
  </si>
  <si>
    <t>Before backdated deal</t>
  </si>
  <si>
    <t>Trade Date Realized PL</t>
  </si>
  <si>
    <t>Settled Date Realized PL</t>
  </si>
  <si>
    <t>Version</t>
  </si>
  <si>
    <t>Closing Price</t>
  </si>
  <si>
    <t>Calculation Type</t>
  </si>
  <si>
    <t>SOD</t>
  </si>
  <si>
    <t>EOD</t>
  </si>
  <si>
    <t>Settled Date Unrealized PL</t>
  </si>
  <si>
    <t>Trade Date Total Cost</t>
  </si>
  <si>
    <t>Settled Date Total Cost</t>
  </si>
  <si>
    <t>Trade Date Unrealized PL</t>
  </si>
  <si>
    <t>INTRADAY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</si>
</sst>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6" formatCode="[$-F800]dddd\,\ mmmm\ dd\,\ yyyy"/>
    <numFmt numFmtId="168" formatCode="_(&quot;$&quot;* #,##0_);_(&quot;$&quot;* \(#,##0\);_(&quot;$&quot;* &quot;-&quot;??_);_(@_)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theme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44" fontId="0" fillId="0" borderId="0" xfId="1" applyFont="1"/>
    <xf numFmtId="0" fontId="0" fillId="0" borderId="1" xfId="0" applyBorder="1"/>
    <xf numFmtId="166" fontId="0" fillId="0" borderId="1" xfId="0" applyNumberFormat="1" applyBorder="1"/>
    <xf numFmtId="44" fontId="0" fillId="0" borderId="1" xfId="1" applyFont="1" applyBorder="1"/>
    <xf numFmtId="0" fontId="0" fillId="2" borderId="1" xfId="0" applyFill="1" applyBorder="1"/>
    <xf numFmtId="44" fontId="0" fillId="2" borderId="1" xfId="1" applyFont="1" applyFill="1" applyBorder="1"/>
    <xf numFmtId="0" fontId="0" fillId="2" borderId="0" xfId="0" applyFill="1"/>
    <xf numFmtId="166" fontId="0" fillId="2" borderId="1" xfId="0" applyNumberFormat="1" applyFill="1" applyBorder="1"/>
    <xf numFmtId="0" fontId="0" fillId="0" borderId="0" xfId="0" applyFill="1"/>
    <xf numFmtId="166" fontId="0" fillId="0" borderId="1" xfId="0" applyNumberFormat="1" applyFill="1" applyBorder="1"/>
    <xf numFmtId="0" fontId="0" fillId="0" borderId="1" xfId="0" applyFill="1" applyBorder="1"/>
    <xf numFmtId="44" fontId="0" fillId="0" borderId="1" xfId="1" applyFont="1" applyFill="1" applyBorder="1"/>
    <xf numFmtId="0" fontId="0" fillId="0" borderId="1" xfId="1" applyNumberFormat="1" applyFont="1" applyBorder="1"/>
    <xf numFmtId="0" fontId="3" fillId="0" borderId="1" xfId="1" applyNumberFormat="1" applyFont="1" applyBorder="1"/>
    <xf numFmtId="44" fontId="3" fillId="0" borderId="1" xfId="1" applyFont="1" applyBorder="1"/>
    <xf numFmtId="0" fontId="0" fillId="4" borderId="0" xfId="0" applyFill="1"/>
    <xf numFmtId="166" fontId="0" fillId="4" borderId="1" xfId="0" applyNumberFormat="1" applyFill="1" applyBorder="1"/>
    <xf numFmtId="0" fontId="0" fillId="4" borderId="1" xfId="0" applyFill="1" applyBorder="1"/>
    <xf numFmtId="44" fontId="0" fillId="4" borderId="1" xfId="1" applyFont="1" applyFill="1" applyBorder="1"/>
    <xf numFmtId="0" fontId="0" fillId="4" borderId="1" xfId="1" applyNumberFormat="1" applyFont="1" applyFill="1" applyBorder="1"/>
    <xf numFmtId="0" fontId="3" fillId="0" borderId="1" xfId="0" applyFont="1" applyBorder="1"/>
    <xf numFmtId="0" fontId="4" fillId="0" borderId="1" xfId="0" applyFont="1" applyBorder="1"/>
    <xf numFmtId="44" fontId="4" fillId="0" borderId="1" xfId="1" applyFont="1" applyBorder="1"/>
    <xf numFmtId="0" fontId="3" fillId="0" borderId="1" xfId="0" applyFont="1" applyFill="1" applyBorder="1"/>
    <xf numFmtId="0" fontId="3" fillId="3" borderId="1" xfId="0" applyFont="1" applyFill="1" applyBorder="1"/>
    <xf numFmtId="0" fontId="0" fillId="0" borderId="1" xfId="0" applyNumberFormat="1" applyBorder="1"/>
    <xf numFmtId="168" fontId="0" fillId="0" borderId="1" xfId="1" applyNumberFormat="1" applyFont="1" applyBorder="1"/>
    <xf numFmtId="166" fontId="2" fillId="0" borderId="1" xfId="0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906A0-9878-43FE-81BA-2CA028444057}">
  <dimension ref="A7:T65"/>
  <sheetViews>
    <sheetView tabSelected="1" topLeftCell="A7" workbookViewId="0">
      <pane xSplit="8" ySplit="16" topLeftCell="I23" activePane="bottomRight" state="frozen"/>
      <selection activeCell="A7" sqref="A7"/>
      <selection pane="topRight" activeCell="I7" sqref="I7"/>
      <selection pane="bottomLeft" activeCell="A23" sqref="A23"/>
      <selection pane="bottomRight" activeCell="B7" sqref="B7"/>
    </sheetView>
  </sheetViews>
  <sheetFormatPr defaultRowHeight="12.75" x14ac:dyDescent="0.2"/>
  <cols>
    <col min="1" max="1" width="9.85546875" bestFit="1" customWidth="1"/>
    <col min="2" max="2" width="25.28515625" bestFit="1" customWidth="1"/>
    <col min="3" max="3" width="14.7109375" bestFit="1" customWidth="1"/>
    <col min="4" max="6" width="25.28515625" bestFit="1" customWidth="1"/>
    <col min="7" max="8" width="22" bestFit="1" customWidth="1"/>
    <col min="9" max="9" width="19.42578125" bestFit="1" customWidth="1"/>
    <col min="10" max="10" width="24" bestFit="1" customWidth="1"/>
    <col min="11" max="11" width="20.85546875" bestFit="1" customWidth="1"/>
    <col min="12" max="12" width="24" bestFit="1" customWidth="1"/>
    <col min="13" max="13" width="24.85546875" bestFit="1" customWidth="1"/>
    <col min="14" max="14" width="23" bestFit="1" customWidth="1"/>
    <col min="15" max="15" width="20.5703125" bestFit="1" customWidth="1"/>
    <col min="16" max="16" width="25.140625" bestFit="1" customWidth="1"/>
    <col min="17" max="17" width="22.140625" bestFit="1" customWidth="1"/>
    <col min="18" max="18" width="25.140625" bestFit="1" customWidth="1"/>
    <col min="19" max="19" width="26.140625" bestFit="1" customWidth="1"/>
    <col min="20" max="20" width="24.140625" bestFit="1" customWidth="1"/>
  </cols>
  <sheetData>
    <row r="7" spans="1:11" x14ac:dyDescent="0.2">
      <c r="B7" s="21" t="s">
        <v>1</v>
      </c>
      <c r="C7" s="21" t="s">
        <v>2</v>
      </c>
      <c r="D7" s="21" t="s">
        <v>11</v>
      </c>
      <c r="E7" s="21" t="s">
        <v>3</v>
      </c>
      <c r="F7" s="21" t="s">
        <v>4</v>
      </c>
      <c r="G7" s="21" t="s">
        <v>8</v>
      </c>
      <c r="H7" s="21" t="s">
        <v>5</v>
      </c>
      <c r="I7" s="21" t="s">
        <v>6</v>
      </c>
      <c r="J7" s="21" t="s">
        <v>7</v>
      </c>
    </row>
    <row r="8" spans="1:11" x14ac:dyDescent="0.2">
      <c r="B8" s="2" t="s">
        <v>0</v>
      </c>
      <c r="C8" s="2" t="s">
        <v>13</v>
      </c>
      <c r="D8" s="3">
        <f>E8</f>
        <v>46084</v>
      </c>
      <c r="E8" s="3">
        <v>46084</v>
      </c>
      <c r="F8" s="3">
        <f>E8+2</f>
        <v>46086</v>
      </c>
      <c r="G8" s="26">
        <v>111111</v>
      </c>
      <c r="H8" s="2" t="s">
        <v>9</v>
      </c>
      <c r="I8" s="2">
        <v>150</v>
      </c>
      <c r="J8" s="27">
        <v>67</v>
      </c>
      <c r="K8" s="1"/>
    </row>
    <row r="9" spans="1:11" x14ac:dyDescent="0.2">
      <c r="B9" s="2" t="s">
        <v>0</v>
      </c>
      <c r="C9" s="2" t="s">
        <v>13</v>
      </c>
      <c r="D9" s="3">
        <f t="shared" ref="D9:D14" si="0">E9</f>
        <v>46087</v>
      </c>
      <c r="E9" s="3">
        <v>46087</v>
      </c>
      <c r="F9" s="3">
        <f>E9+3</f>
        <v>46090</v>
      </c>
      <c r="G9" s="2">
        <v>111112</v>
      </c>
      <c r="H9" s="2" t="s">
        <v>9</v>
      </c>
      <c r="I9" s="2">
        <v>30</v>
      </c>
      <c r="J9" s="27">
        <v>63</v>
      </c>
      <c r="K9" s="1"/>
    </row>
    <row r="10" spans="1:11" x14ac:dyDescent="0.2">
      <c r="B10" s="2" t="s">
        <v>0</v>
      </c>
      <c r="C10" s="2" t="s">
        <v>13</v>
      </c>
      <c r="D10" s="3">
        <f t="shared" si="0"/>
        <v>46090</v>
      </c>
      <c r="E10" s="3">
        <v>46090</v>
      </c>
      <c r="F10" s="3">
        <f>E10+2</f>
        <v>46092</v>
      </c>
      <c r="G10" s="2">
        <v>111113</v>
      </c>
      <c r="H10" s="2" t="s">
        <v>10</v>
      </c>
      <c r="I10" s="2">
        <v>65</v>
      </c>
      <c r="J10" s="27">
        <v>72</v>
      </c>
      <c r="K10" s="1"/>
    </row>
    <row r="11" spans="1:11" x14ac:dyDescent="0.2">
      <c r="B11" s="2" t="s">
        <v>0</v>
      </c>
      <c r="C11" s="2" t="s">
        <v>13</v>
      </c>
      <c r="D11" s="3">
        <f t="shared" si="0"/>
        <v>46091</v>
      </c>
      <c r="E11" s="3">
        <v>46091</v>
      </c>
      <c r="F11" s="3">
        <f>E11</f>
        <v>46091</v>
      </c>
      <c r="G11" s="2">
        <v>111114</v>
      </c>
      <c r="H11" s="2" t="s">
        <v>9</v>
      </c>
      <c r="I11" s="2">
        <v>47</v>
      </c>
      <c r="J11" s="27">
        <v>70</v>
      </c>
      <c r="K11" s="1"/>
    </row>
    <row r="12" spans="1:11" x14ac:dyDescent="0.2">
      <c r="B12" s="2" t="s">
        <v>0</v>
      </c>
      <c r="C12" s="2" t="s">
        <v>13</v>
      </c>
      <c r="D12" s="3">
        <f t="shared" si="0"/>
        <v>46091</v>
      </c>
      <c r="E12" s="3">
        <v>46091</v>
      </c>
      <c r="F12" s="3">
        <f>E12</f>
        <v>46091</v>
      </c>
      <c r="G12" s="2">
        <v>111115</v>
      </c>
      <c r="H12" s="2" t="s">
        <v>10</v>
      </c>
      <c r="I12" s="2">
        <v>32</v>
      </c>
      <c r="J12" s="27">
        <v>68</v>
      </c>
      <c r="K12" s="1"/>
    </row>
    <row r="13" spans="1:11" x14ac:dyDescent="0.2">
      <c r="B13" s="2" t="s">
        <v>0</v>
      </c>
      <c r="C13" s="2" t="s">
        <v>13</v>
      </c>
      <c r="D13" s="3">
        <f t="shared" si="0"/>
        <v>46106</v>
      </c>
      <c r="E13" s="3">
        <v>46106</v>
      </c>
      <c r="F13" s="3">
        <f>E13</f>
        <v>46106</v>
      </c>
      <c r="G13" s="26">
        <v>111116</v>
      </c>
      <c r="H13" s="2" t="s">
        <v>9</v>
      </c>
      <c r="I13" s="2">
        <v>24</v>
      </c>
      <c r="J13" s="27">
        <v>74</v>
      </c>
      <c r="K13" s="1"/>
    </row>
    <row r="14" spans="1:11" x14ac:dyDescent="0.2">
      <c r="B14" s="2" t="s">
        <v>0</v>
      </c>
      <c r="C14" s="2" t="s">
        <v>13</v>
      </c>
      <c r="D14" s="3">
        <f t="shared" si="0"/>
        <v>46106</v>
      </c>
      <c r="E14" s="3">
        <v>46106</v>
      </c>
      <c r="F14" s="3">
        <f>E14</f>
        <v>46106</v>
      </c>
      <c r="G14" s="2">
        <v>111117</v>
      </c>
      <c r="H14" s="2" t="s">
        <v>10</v>
      </c>
      <c r="I14" s="2">
        <v>55</v>
      </c>
      <c r="J14" s="27">
        <v>78</v>
      </c>
      <c r="K14" s="1"/>
    </row>
    <row r="15" spans="1:11" x14ac:dyDescent="0.2">
      <c r="A15" t="s">
        <v>12</v>
      </c>
      <c r="B15" s="2" t="s">
        <v>0</v>
      </c>
      <c r="C15" s="2" t="s">
        <v>13</v>
      </c>
      <c r="D15" s="28">
        <v>46114</v>
      </c>
      <c r="E15" s="28">
        <v>46106</v>
      </c>
      <c r="F15" s="3">
        <f>E15+5</f>
        <v>46111</v>
      </c>
      <c r="G15" s="2">
        <v>111118</v>
      </c>
      <c r="H15" s="2" t="s">
        <v>9</v>
      </c>
      <c r="I15" s="2">
        <v>13</v>
      </c>
      <c r="J15" s="27">
        <v>60</v>
      </c>
      <c r="K15" s="1"/>
    </row>
    <row r="16" spans="1:11" x14ac:dyDescent="0.2">
      <c r="B16" s="2" t="s">
        <v>0</v>
      </c>
      <c r="C16" s="2" t="s">
        <v>13</v>
      </c>
      <c r="D16" s="3">
        <f>E16</f>
        <v>46115</v>
      </c>
      <c r="E16" s="3">
        <v>46115</v>
      </c>
      <c r="F16" s="3">
        <f>E16</f>
        <v>46115</v>
      </c>
      <c r="G16" s="26">
        <v>111119</v>
      </c>
      <c r="H16" s="2" t="s">
        <v>10</v>
      </c>
      <c r="I16" s="2">
        <v>24</v>
      </c>
      <c r="J16" s="27">
        <v>63</v>
      </c>
      <c r="K16" s="1"/>
    </row>
    <row r="22" spans="2:20" x14ac:dyDescent="0.2">
      <c r="B22" s="21" t="s">
        <v>14</v>
      </c>
      <c r="C22" s="21" t="s">
        <v>1</v>
      </c>
      <c r="D22" s="21" t="s">
        <v>2</v>
      </c>
      <c r="E22" s="21" t="s">
        <v>21</v>
      </c>
      <c r="F22" s="21" t="s">
        <v>26</v>
      </c>
      <c r="G22" s="21" t="s">
        <v>28</v>
      </c>
      <c r="H22" s="21" t="s">
        <v>27</v>
      </c>
      <c r="I22" s="21" t="s">
        <v>15</v>
      </c>
      <c r="J22" s="24" t="s">
        <v>17</v>
      </c>
      <c r="K22" s="25" t="s">
        <v>32</v>
      </c>
      <c r="L22" s="25" t="s">
        <v>19</v>
      </c>
      <c r="M22" s="25" t="s">
        <v>34</v>
      </c>
      <c r="N22" s="21" t="s">
        <v>24</v>
      </c>
      <c r="O22" s="21" t="s">
        <v>16</v>
      </c>
      <c r="P22" s="21" t="s">
        <v>18</v>
      </c>
      <c r="Q22" s="25" t="s">
        <v>33</v>
      </c>
      <c r="R22" s="25" t="s">
        <v>20</v>
      </c>
      <c r="S22" s="25" t="s">
        <v>31</v>
      </c>
      <c r="T22" s="21" t="s">
        <v>25</v>
      </c>
    </row>
    <row r="23" spans="2:20" x14ac:dyDescent="0.2">
      <c r="B23" s="3">
        <v>46084</v>
      </c>
      <c r="C23" s="2" t="s">
        <v>0</v>
      </c>
      <c r="D23" s="2" t="s">
        <v>13</v>
      </c>
      <c r="E23" s="2">
        <v>9999999</v>
      </c>
      <c r="F23" s="2">
        <v>1</v>
      </c>
      <c r="G23" s="2" t="s">
        <v>35</v>
      </c>
      <c r="H23" s="4">
        <v>68</v>
      </c>
      <c r="I23" s="2">
        <f>I8</f>
        <v>150</v>
      </c>
      <c r="J23" s="12">
        <f>J8</f>
        <v>67</v>
      </c>
      <c r="K23" s="4">
        <f>I23*J23</f>
        <v>10050</v>
      </c>
      <c r="L23" s="4">
        <f>I23*H23</f>
        <v>10200</v>
      </c>
      <c r="M23" s="4">
        <f>L23-K23</f>
        <v>150</v>
      </c>
      <c r="N23" s="4"/>
      <c r="O23" s="2">
        <v>0</v>
      </c>
      <c r="P23" s="4">
        <v>0</v>
      </c>
      <c r="Q23" s="4">
        <f t="shared" ref="Q23:Q65" si="1">O23*P23</f>
        <v>0</v>
      </c>
      <c r="R23" s="4">
        <f>O23*H23</f>
        <v>0</v>
      </c>
      <c r="S23" s="4">
        <f>R23-Q23</f>
        <v>0</v>
      </c>
      <c r="T23" s="4">
        <v>0</v>
      </c>
    </row>
    <row r="24" spans="2:20" s="16" customFormat="1" x14ac:dyDescent="0.2">
      <c r="B24" s="17">
        <v>46084</v>
      </c>
      <c r="C24" s="18" t="s">
        <v>0</v>
      </c>
      <c r="D24" s="18" t="s">
        <v>13</v>
      </c>
      <c r="E24" s="18">
        <v>9999999</v>
      </c>
      <c r="F24" s="18">
        <v>2</v>
      </c>
      <c r="G24" s="18" t="s">
        <v>30</v>
      </c>
      <c r="H24" s="19">
        <v>69</v>
      </c>
      <c r="I24" s="18">
        <f>I23</f>
        <v>150</v>
      </c>
      <c r="J24" s="19">
        <f t="shared" ref="J24" si="2">J23</f>
        <v>67</v>
      </c>
      <c r="K24" s="19">
        <f t="shared" ref="K24:K65" si="3">I24*J24</f>
        <v>10050</v>
      </c>
      <c r="L24" s="19">
        <f t="shared" ref="L24:L65" si="4">I24*H24</f>
        <v>10350</v>
      </c>
      <c r="M24" s="19">
        <f t="shared" ref="M24:M65" si="5">L24-K24</f>
        <v>300</v>
      </c>
      <c r="N24" s="19">
        <f t="shared" ref="N24" si="6">N23</f>
        <v>0</v>
      </c>
      <c r="O24" s="18">
        <f>O23</f>
        <v>0</v>
      </c>
      <c r="P24" s="19">
        <f>P23</f>
        <v>0</v>
      </c>
      <c r="Q24" s="19">
        <f t="shared" si="1"/>
        <v>0</v>
      </c>
      <c r="R24" s="19">
        <f t="shared" ref="R24:R65" si="7">O24*H24</f>
        <v>0</v>
      </c>
      <c r="S24" s="19">
        <f t="shared" ref="S24:S65" si="8">R24-Q24</f>
        <v>0</v>
      </c>
      <c r="T24" s="19">
        <f>T23</f>
        <v>0</v>
      </c>
    </row>
    <row r="25" spans="2:20" x14ac:dyDescent="0.2">
      <c r="B25" s="3">
        <f>B23+1</f>
        <v>46085</v>
      </c>
      <c r="C25" s="2" t="s">
        <v>0</v>
      </c>
      <c r="D25" s="2" t="s">
        <v>13</v>
      </c>
      <c r="E25" s="2">
        <v>9999999</v>
      </c>
      <c r="F25" s="2">
        <v>1</v>
      </c>
      <c r="G25" s="2" t="s">
        <v>29</v>
      </c>
      <c r="H25" s="4">
        <f>H24</f>
        <v>69</v>
      </c>
      <c r="I25" s="2">
        <f>I24</f>
        <v>150</v>
      </c>
      <c r="J25" s="12">
        <f>J24</f>
        <v>67</v>
      </c>
      <c r="K25" s="4">
        <f t="shared" si="3"/>
        <v>10050</v>
      </c>
      <c r="L25" s="4">
        <f t="shared" si="4"/>
        <v>10350</v>
      </c>
      <c r="M25" s="4">
        <f t="shared" si="5"/>
        <v>300</v>
      </c>
      <c r="N25" s="4">
        <f>N24</f>
        <v>0</v>
      </c>
      <c r="O25" s="13">
        <f>O24</f>
        <v>0</v>
      </c>
      <c r="P25" s="4">
        <f>P24</f>
        <v>0</v>
      </c>
      <c r="Q25" s="4">
        <f t="shared" si="1"/>
        <v>0</v>
      </c>
      <c r="R25" s="4">
        <f t="shared" si="7"/>
        <v>0</v>
      </c>
      <c r="S25" s="4">
        <f t="shared" si="8"/>
        <v>0</v>
      </c>
      <c r="T25" s="4">
        <f t="shared" ref="T25:T27" si="9">T24</f>
        <v>0</v>
      </c>
    </row>
    <row r="26" spans="2:20" s="16" customFormat="1" x14ac:dyDescent="0.2">
      <c r="B26" s="17">
        <f>B24+1</f>
        <v>46085</v>
      </c>
      <c r="C26" s="18" t="s">
        <v>0</v>
      </c>
      <c r="D26" s="18" t="s">
        <v>13</v>
      </c>
      <c r="E26" s="18">
        <v>9999999</v>
      </c>
      <c r="F26" s="18">
        <v>2</v>
      </c>
      <c r="G26" s="18" t="s">
        <v>30</v>
      </c>
      <c r="H26" s="19">
        <v>71</v>
      </c>
      <c r="I26" s="18">
        <f>I25</f>
        <v>150</v>
      </c>
      <c r="J26" s="19">
        <f>J25</f>
        <v>67</v>
      </c>
      <c r="K26" s="19">
        <f t="shared" si="3"/>
        <v>10050</v>
      </c>
      <c r="L26" s="19">
        <f t="shared" si="4"/>
        <v>10650</v>
      </c>
      <c r="M26" s="19">
        <f t="shared" si="5"/>
        <v>600</v>
      </c>
      <c r="N26" s="19">
        <f>N25</f>
        <v>0</v>
      </c>
      <c r="O26" s="20">
        <f t="shared" ref="O26" si="10">O25</f>
        <v>0</v>
      </c>
      <c r="P26" s="19">
        <f>P25</f>
        <v>0</v>
      </c>
      <c r="Q26" s="19">
        <f t="shared" si="1"/>
        <v>0</v>
      </c>
      <c r="R26" s="19">
        <f t="shared" si="7"/>
        <v>0</v>
      </c>
      <c r="S26" s="19">
        <f t="shared" si="8"/>
        <v>0</v>
      </c>
      <c r="T26" s="19">
        <f t="shared" si="9"/>
        <v>0</v>
      </c>
    </row>
    <row r="27" spans="2:20" x14ac:dyDescent="0.2">
      <c r="B27" s="3">
        <v>46086</v>
      </c>
      <c r="C27" s="2" t="s">
        <v>0</v>
      </c>
      <c r="D27" s="2" t="s">
        <v>13</v>
      </c>
      <c r="E27" s="2">
        <v>9999999</v>
      </c>
      <c r="F27" s="2">
        <v>1</v>
      </c>
      <c r="G27" s="2" t="s">
        <v>29</v>
      </c>
      <c r="H27" s="4">
        <f>H26</f>
        <v>71</v>
      </c>
      <c r="I27" s="2">
        <f>I26</f>
        <v>150</v>
      </c>
      <c r="J27" s="12">
        <f>J26</f>
        <v>67</v>
      </c>
      <c r="K27" s="4">
        <f t="shared" si="3"/>
        <v>10050</v>
      </c>
      <c r="L27" s="4">
        <f t="shared" si="4"/>
        <v>10650</v>
      </c>
      <c r="M27" s="4">
        <f t="shared" si="5"/>
        <v>600</v>
      </c>
      <c r="N27" s="4">
        <f t="shared" ref="N27" si="11">N26</f>
        <v>0</v>
      </c>
      <c r="O27" s="14">
        <f>I8</f>
        <v>150</v>
      </c>
      <c r="P27" s="15">
        <f>J8</f>
        <v>67</v>
      </c>
      <c r="Q27" s="4">
        <f>O27*P27</f>
        <v>10050</v>
      </c>
      <c r="R27" s="4">
        <f>O27*H27</f>
        <v>10650</v>
      </c>
      <c r="S27" s="4">
        <f t="shared" si="8"/>
        <v>600</v>
      </c>
      <c r="T27" s="4">
        <f t="shared" si="9"/>
        <v>0</v>
      </c>
    </row>
    <row r="28" spans="2:20" s="16" customFormat="1" x14ac:dyDescent="0.2">
      <c r="B28" s="17">
        <f>B25+1</f>
        <v>46086</v>
      </c>
      <c r="C28" s="18" t="s">
        <v>0</v>
      </c>
      <c r="D28" s="18" t="s">
        <v>13</v>
      </c>
      <c r="E28" s="18">
        <v>9999999</v>
      </c>
      <c r="F28" s="18">
        <v>2</v>
      </c>
      <c r="G28" s="18" t="s">
        <v>30</v>
      </c>
      <c r="H28" s="19">
        <v>73</v>
      </c>
      <c r="I28" s="18">
        <f>I8</f>
        <v>150</v>
      </c>
      <c r="J28" s="19">
        <f>J8</f>
        <v>67</v>
      </c>
      <c r="K28" s="19">
        <f t="shared" si="3"/>
        <v>10050</v>
      </c>
      <c r="L28" s="19">
        <f t="shared" si="4"/>
        <v>10950</v>
      </c>
      <c r="M28" s="19">
        <f t="shared" si="5"/>
        <v>900</v>
      </c>
      <c r="N28" s="19">
        <f>N27</f>
        <v>0</v>
      </c>
      <c r="O28" s="18">
        <f>O27</f>
        <v>150</v>
      </c>
      <c r="P28" s="19">
        <f>P27</f>
        <v>67</v>
      </c>
      <c r="Q28" s="19">
        <f t="shared" si="1"/>
        <v>10050</v>
      </c>
      <c r="R28" s="19">
        <f t="shared" si="7"/>
        <v>10950</v>
      </c>
      <c r="S28" s="19">
        <f t="shared" si="8"/>
        <v>900</v>
      </c>
      <c r="T28" s="19">
        <f>T27</f>
        <v>0</v>
      </c>
    </row>
    <row r="29" spans="2:20" x14ac:dyDescent="0.2">
      <c r="B29" s="3">
        <f>B27+1</f>
        <v>46087</v>
      </c>
      <c r="C29" s="2" t="s">
        <v>0</v>
      </c>
      <c r="D29" s="2" t="s">
        <v>13</v>
      </c>
      <c r="E29" s="2">
        <v>9999999</v>
      </c>
      <c r="F29" s="2">
        <v>1</v>
      </c>
      <c r="G29" s="2" t="s">
        <v>29</v>
      </c>
      <c r="H29" s="4">
        <v>73</v>
      </c>
      <c r="I29" s="2">
        <f>I28</f>
        <v>150</v>
      </c>
      <c r="J29" s="12">
        <f>J28</f>
        <v>67</v>
      </c>
      <c r="K29" s="4">
        <f t="shared" si="3"/>
        <v>10050</v>
      </c>
      <c r="L29" s="4">
        <f t="shared" si="4"/>
        <v>10950</v>
      </c>
      <c r="M29" s="4">
        <f t="shared" si="5"/>
        <v>900</v>
      </c>
      <c r="N29" s="4">
        <f>N28</f>
        <v>0</v>
      </c>
      <c r="O29" s="2">
        <f>O28</f>
        <v>150</v>
      </c>
      <c r="P29" s="4">
        <f>P28</f>
        <v>67</v>
      </c>
      <c r="Q29" s="4">
        <f t="shared" ref="Q29" si="12">O29*P29</f>
        <v>10050</v>
      </c>
      <c r="R29" s="4">
        <f t="shared" ref="R29" si="13">O29*H29</f>
        <v>10950</v>
      </c>
      <c r="S29" s="4">
        <f t="shared" ref="S29" si="14">R29-Q29</f>
        <v>900</v>
      </c>
      <c r="T29" s="4">
        <f>T28</f>
        <v>0</v>
      </c>
    </row>
    <row r="30" spans="2:20" x14ac:dyDescent="0.2">
      <c r="B30" s="3">
        <f>B28+1</f>
        <v>46087</v>
      </c>
      <c r="C30" s="2" t="s">
        <v>0</v>
      </c>
      <c r="D30" s="2" t="s">
        <v>13</v>
      </c>
      <c r="E30" s="2">
        <v>9999999</v>
      </c>
      <c r="F30" s="2">
        <v>2</v>
      </c>
      <c r="G30" s="2" t="s">
        <v>35</v>
      </c>
      <c r="H30" s="4">
        <v>73</v>
      </c>
      <c r="I30" s="2">
        <f>I8+I9</f>
        <v>180</v>
      </c>
      <c r="J30" s="12">
        <f>J28*I28/(I30)+J9*I9/(I30)</f>
        <v>66.333333333333343</v>
      </c>
      <c r="K30" s="4">
        <f t="shared" si="3"/>
        <v>11940.000000000002</v>
      </c>
      <c r="L30" s="4">
        <f t="shared" si="4"/>
        <v>13140</v>
      </c>
      <c r="M30" s="4">
        <f t="shared" si="5"/>
        <v>1199.9999999999982</v>
      </c>
      <c r="N30" s="4">
        <f>N29</f>
        <v>0</v>
      </c>
      <c r="O30" s="2">
        <f>I8</f>
        <v>150</v>
      </c>
      <c r="P30" s="4">
        <f>J8</f>
        <v>67</v>
      </c>
      <c r="Q30" s="4">
        <f t="shared" si="1"/>
        <v>10050</v>
      </c>
      <c r="R30" s="4">
        <f t="shared" si="7"/>
        <v>10950</v>
      </c>
      <c r="S30" s="4">
        <f t="shared" si="8"/>
        <v>900</v>
      </c>
      <c r="T30" s="4">
        <f>T29</f>
        <v>0</v>
      </c>
    </row>
    <row r="31" spans="2:20" s="16" customFormat="1" x14ac:dyDescent="0.2">
      <c r="B31" s="17">
        <v>46087</v>
      </c>
      <c r="C31" s="18" t="s">
        <v>0</v>
      </c>
      <c r="D31" s="18" t="s">
        <v>13</v>
      </c>
      <c r="E31" s="18">
        <v>9999999</v>
      </c>
      <c r="F31" s="18">
        <v>3</v>
      </c>
      <c r="G31" s="18" t="s">
        <v>30</v>
      </c>
      <c r="H31" s="19">
        <v>74</v>
      </c>
      <c r="I31" s="18">
        <f>I30</f>
        <v>180</v>
      </c>
      <c r="J31" s="19">
        <f>J30</f>
        <v>66.333333333333343</v>
      </c>
      <c r="K31" s="19">
        <f t="shared" ref="K31:K34" si="15">I31*J31</f>
        <v>11940.000000000002</v>
      </c>
      <c r="L31" s="19">
        <f t="shared" ref="L31:L34" si="16">I31*H31</f>
        <v>13320</v>
      </c>
      <c r="M31" s="19">
        <f t="shared" ref="M31:M34" si="17">L31-K31</f>
        <v>1379.9999999999982</v>
      </c>
      <c r="N31" s="19">
        <f>N30</f>
        <v>0</v>
      </c>
      <c r="O31" s="18">
        <f>O30</f>
        <v>150</v>
      </c>
      <c r="P31" s="19">
        <f>P30</f>
        <v>67</v>
      </c>
      <c r="Q31" s="19">
        <f t="shared" ref="Q31:Q34" si="18">O31*P31</f>
        <v>10050</v>
      </c>
      <c r="R31" s="19">
        <f t="shared" ref="R31:R34" si="19">O31*H31</f>
        <v>11100</v>
      </c>
      <c r="S31" s="19">
        <f t="shared" ref="S31:S34" si="20">R31-Q31</f>
        <v>1050</v>
      </c>
      <c r="T31" s="19">
        <f>T30</f>
        <v>0</v>
      </c>
    </row>
    <row r="32" spans="2:20" x14ac:dyDescent="0.2">
      <c r="B32" s="3">
        <f>B29+1</f>
        <v>46088</v>
      </c>
      <c r="C32" s="2" t="s">
        <v>0</v>
      </c>
      <c r="D32" s="2" t="s">
        <v>13</v>
      </c>
      <c r="E32" s="2">
        <v>9999999</v>
      </c>
      <c r="F32" s="2">
        <v>1</v>
      </c>
      <c r="G32" s="2" t="s">
        <v>29</v>
      </c>
      <c r="H32" s="4">
        <v>74</v>
      </c>
      <c r="I32" s="2">
        <f>I31</f>
        <v>180</v>
      </c>
      <c r="J32" s="12">
        <f>J31</f>
        <v>66.333333333333343</v>
      </c>
      <c r="K32" s="4">
        <f t="shared" si="15"/>
        <v>11940.000000000002</v>
      </c>
      <c r="L32" s="4">
        <f t="shared" si="16"/>
        <v>13320</v>
      </c>
      <c r="M32" s="4">
        <f t="shared" si="17"/>
        <v>1379.9999999999982</v>
      </c>
      <c r="N32" s="4">
        <f>N31</f>
        <v>0</v>
      </c>
      <c r="O32" s="2">
        <f>O31</f>
        <v>150</v>
      </c>
      <c r="P32" s="4">
        <f>P31</f>
        <v>67</v>
      </c>
      <c r="Q32" s="4">
        <f t="shared" si="18"/>
        <v>10050</v>
      </c>
      <c r="R32" s="4">
        <f t="shared" si="19"/>
        <v>11100</v>
      </c>
      <c r="S32" s="4">
        <f t="shared" si="20"/>
        <v>1050</v>
      </c>
      <c r="T32" s="4">
        <f>T31</f>
        <v>0</v>
      </c>
    </row>
    <row r="33" spans="2:20" s="16" customFormat="1" x14ac:dyDescent="0.2">
      <c r="B33" s="17">
        <f>B30+1</f>
        <v>46088</v>
      </c>
      <c r="C33" s="18" t="s">
        <v>0</v>
      </c>
      <c r="D33" s="18" t="s">
        <v>13</v>
      </c>
      <c r="E33" s="18">
        <v>9999999</v>
      </c>
      <c r="F33" s="18">
        <v>2</v>
      </c>
      <c r="G33" s="18" t="s">
        <v>30</v>
      </c>
      <c r="H33" s="19">
        <v>75</v>
      </c>
      <c r="I33" s="18">
        <f>I32</f>
        <v>180</v>
      </c>
      <c r="J33" s="19">
        <f>J32</f>
        <v>66.333333333333343</v>
      </c>
      <c r="K33" s="19">
        <f t="shared" si="15"/>
        <v>11940.000000000002</v>
      </c>
      <c r="L33" s="19">
        <f t="shared" si="16"/>
        <v>13500</v>
      </c>
      <c r="M33" s="19">
        <f t="shared" si="17"/>
        <v>1559.9999999999982</v>
      </c>
      <c r="N33" s="19">
        <f>N32</f>
        <v>0</v>
      </c>
      <c r="O33" s="18">
        <f>O32</f>
        <v>150</v>
      </c>
      <c r="P33" s="19">
        <f>P32</f>
        <v>67</v>
      </c>
      <c r="Q33" s="19">
        <f t="shared" si="18"/>
        <v>10050</v>
      </c>
      <c r="R33" s="19">
        <f t="shared" si="19"/>
        <v>11250</v>
      </c>
      <c r="S33" s="19">
        <f t="shared" si="20"/>
        <v>1200</v>
      </c>
      <c r="T33" s="19">
        <f>T32</f>
        <v>0</v>
      </c>
    </row>
    <row r="34" spans="2:20" x14ac:dyDescent="0.2">
      <c r="B34" s="3">
        <f>B32+1</f>
        <v>46089</v>
      </c>
      <c r="C34" s="2" t="s">
        <v>0</v>
      </c>
      <c r="D34" s="2" t="s">
        <v>13</v>
      </c>
      <c r="E34" s="2">
        <v>9999999</v>
      </c>
      <c r="F34" s="2">
        <v>1</v>
      </c>
      <c r="G34" s="2" t="s">
        <v>29</v>
      </c>
      <c r="H34" s="4">
        <f>H33</f>
        <v>75</v>
      </c>
      <c r="I34" s="2">
        <f>I32</f>
        <v>180</v>
      </c>
      <c r="J34" s="12">
        <f>J32</f>
        <v>66.333333333333343</v>
      </c>
      <c r="K34" s="4">
        <f t="shared" si="15"/>
        <v>11940.000000000002</v>
      </c>
      <c r="L34" s="4">
        <f t="shared" si="16"/>
        <v>13500</v>
      </c>
      <c r="M34" s="4">
        <f t="shared" si="17"/>
        <v>1559.9999999999982</v>
      </c>
      <c r="N34" s="4">
        <f>N33</f>
        <v>0</v>
      </c>
      <c r="O34" s="2">
        <f>O33</f>
        <v>150</v>
      </c>
      <c r="P34" s="4">
        <f>P33</f>
        <v>67</v>
      </c>
      <c r="Q34" s="4">
        <f t="shared" si="18"/>
        <v>10050</v>
      </c>
      <c r="R34" s="4">
        <f t="shared" si="19"/>
        <v>11250</v>
      </c>
      <c r="S34" s="4">
        <f t="shared" si="20"/>
        <v>1200</v>
      </c>
      <c r="T34" s="4">
        <f>T33</f>
        <v>0</v>
      </c>
    </row>
    <row r="35" spans="2:20" s="16" customFormat="1" x14ac:dyDescent="0.2">
      <c r="B35" s="17">
        <f>B33+1</f>
        <v>46089</v>
      </c>
      <c r="C35" s="18" t="s">
        <v>0</v>
      </c>
      <c r="D35" s="18" t="s">
        <v>13</v>
      </c>
      <c r="E35" s="18">
        <v>9999999</v>
      </c>
      <c r="F35" s="18">
        <v>2</v>
      </c>
      <c r="G35" s="18" t="s">
        <v>30</v>
      </c>
      <c r="H35" s="19">
        <v>76</v>
      </c>
      <c r="I35" s="18">
        <f>I33</f>
        <v>180</v>
      </c>
      <c r="J35" s="19">
        <f>J33</f>
        <v>66.333333333333343</v>
      </c>
      <c r="K35" s="19">
        <f t="shared" si="3"/>
        <v>11940.000000000002</v>
      </c>
      <c r="L35" s="19">
        <f t="shared" si="4"/>
        <v>13680</v>
      </c>
      <c r="M35" s="19">
        <f t="shared" si="5"/>
        <v>1739.9999999999982</v>
      </c>
      <c r="N35" s="19">
        <f>N34</f>
        <v>0</v>
      </c>
      <c r="O35" s="18">
        <f>O34</f>
        <v>150</v>
      </c>
      <c r="P35" s="19">
        <f>P34</f>
        <v>67</v>
      </c>
      <c r="Q35" s="19">
        <f t="shared" si="1"/>
        <v>10050</v>
      </c>
      <c r="R35" s="19">
        <f t="shared" si="7"/>
        <v>11400</v>
      </c>
      <c r="S35" s="19">
        <f t="shared" si="8"/>
        <v>1350</v>
      </c>
      <c r="T35" s="19">
        <f>T34</f>
        <v>0</v>
      </c>
    </row>
    <row r="36" spans="2:20" x14ac:dyDescent="0.2">
      <c r="B36" s="3">
        <f>B34+1</f>
        <v>46090</v>
      </c>
      <c r="C36" s="2" t="s">
        <v>0</v>
      </c>
      <c r="D36" s="2" t="s">
        <v>13</v>
      </c>
      <c r="E36" s="2">
        <v>9999999</v>
      </c>
      <c r="F36" s="2">
        <v>1</v>
      </c>
      <c r="G36" s="2" t="s">
        <v>29</v>
      </c>
      <c r="H36" s="4">
        <f>H35</f>
        <v>76</v>
      </c>
      <c r="I36" s="2">
        <f>I35</f>
        <v>180</v>
      </c>
      <c r="J36" s="12">
        <f>J35</f>
        <v>66.333333333333343</v>
      </c>
      <c r="K36" s="4">
        <f t="shared" ref="K36" si="21">I36*J36</f>
        <v>11940.000000000002</v>
      </c>
      <c r="L36" s="4">
        <f t="shared" ref="L36" si="22">I36*H36</f>
        <v>13680</v>
      </c>
      <c r="M36" s="4">
        <f t="shared" ref="M36" si="23">L36-K36</f>
        <v>1739.9999999999982</v>
      </c>
      <c r="N36" s="4">
        <f>N35</f>
        <v>0</v>
      </c>
      <c r="O36" s="2">
        <f>SUM(I8,I9)</f>
        <v>180</v>
      </c>
      <c r="P36" s="4">
        <f>J8*I8/(I8+I9)+J9*I9/(I8+I9)</f>
        <v>66.333333333333343</v>
      </c>
      <c r="Q36" s="4">
        <f t="shared" ref="Q36" si="24">O36*P36</f>
        <v>11940.000000000002</v>
      </c>
      <c r="R36" s="4">
        <f t="shared" ref="R36" si="25">O36*H36</f>
        <v>13680</v>
      </c>
      <c r="S36" s="4">
        <f t="shared" ref="S36" si="26">R36-Q36</f>
        <v>1739.9999999999982</v>
      </c>
      <c r="T36" s="4">
        <f>T35</f>
        <v>0</v>
      </c>
    </row>
    <row r="37" spans="2:20" x14ac:dyDescent="0.2">
      <c r="B37" s="3">
        <f>B35+1</f>
        <v>46090</v>
      </c>
      <c r="C37" s="2" t="s">
        <v>0</v>
      </c>
      <c r="D37" s="2" t="s">
        <v>13</v>
      </c>
      <c r="E37" s="2">
        <v>9999999</v>
      </c>
      <c r="F37" s="2">
        <v>2</v>
      </c>
      <c r="G37" s="2" t="s">
        <v>35</v>
      </c>
      <c r="H37" s="4">
        <f>H36</f>
        <v>76</v>
      </c>
      <c r="I37" s="2">
        <f>I36-I10</f>
        <v>115</v>
      </c>
      <c r="J37" s="12">
        <f>J28*I28/(I30)+J9*I9/(I30)</f>
        <v>66.333333333333343</v>
      </c>
      <c r="K37" s="4">
        <f t="shared" si="3"/>
        <v>7628.3333333333348</v>
      </c>
      <c r="L37" s="4">
        <f t="shared" si="4"/>
        <v>8740</v>
      </c>
      <c r="M37" s="4">
        <f t="shared" si="5"/>
        <v>1111.6666666666652</v>
      </c>
      <c r="N37" s="4">
        <f>N35+(J10-J37)*I10</f>
        <v>368.33333333333269</v>
      </c>
      <c r="O37" s="2">
        <f>O36</f>
        <v>180</v>
      </c>
      <c r="P37" s="4">
        <f>P36</f>
        <v>66.333333333333343</v>
      </c>
      <c r="Q37" s="4">
        <f t="shared" si="1"/>
        <v>11940.000000000002</v>
      </c>
      <c r="R37" s="4">
        <f t="shared" si="7"/>
        <v>13680</v>
      </c>
      <c r="S37" s="4">
        <f t="shared" si="8"/>
        <v>1739.9999999999982</v>
      </c>
      <c r="T37" s="4">
        <f>T36</f>
        <v>0</v>
      </c>
    </row>
    <row r="38" spans="2:20" s="16" customFormat="1" x14ac:dyDescent="0.2">
      <c r="B38" s="17">
        <f>B36</f>
        <v>46090</v>
      </c>
      <c r="C38" s="18" t="s">
        <v>0</v>
      </c>
      <c r="D38" s="18" t="s">
        <v>13</v>
      </c>
      <c r="E38" s="18">
        <v>9999999</v>
      </c>
      <c r="F38" s="18">
        <v>3</v>
      </c>
      <c r="G38" s="18" t="s">
        <v>30</v>
      </c>
      <c r="H38" s="19">
        <v>77</v>
      </c>
      <c r="I38" s="18">
        <f>I37</f>
        <v>115</v>
      </c>
      <c r="J38" s="19">
        <f>J37</f>
        <v>66.333333333333343</v>
      </c>
      <c r="K38" s="19">
        <f t="shared" ref="K38:K39" si="27">I38*J38</f>
        <v>7628.3333333333348</v>
      </c>
      <c r="L38" s="19">
        <f t="shared" ref="L38:L39" si="28">I38*H38</f>
        <v>8855</v>
      </c>
      <c r="M38" s="19">
        <f t="shared" ref="M38:M39" si="29">L38-K38</f>
        <v>1226.6666666666652</v>
      </c>
      <c r="N38" s="19">
        <f>N37</f>
        <v>368.33333333333269</v>
      </c>
      <c r="O38" s="18">
        <f>O37</f>
        <v>180</v>
      </c>
      <c r="P38" s="19">
        <f>P37</f>
        <v>66.333333333333343</v>
      </c>
      <c r="Q38" s="19">
        <f t="shared" ref="Q38:Q39" si="30">O38*P38</f>
        <v>11940.000000000002</v>
      </c>
      <c r="R38" s="19">
        <f t="shared" ref="R38:R39" si="31">O38*H38</f>
        <v>13860</v>
      </c>
      <c r="S38" s="19">
        <f t="shared" ref="S38:S39" si="32">R38-Q38</f>
        <v>1919.9999999999982</v>
      </c>
      <c r="T38" s="19">
        <f>T37</f>
        <v>0</v>
      </c>
    </row>
    <row r="39" spans="2:20" x14ac:dyDescent="0.2">
      <c r="B39" s="3">
        <f>B36+1</f>
        <v>46091</v>
      </c>
      <c r="C39" s="2" t="s">
        <v>0</v>
      </c>
      <c r="D39" s="2" t="s">
        <v>13</v>
      </c>
      <c r="E39" s="2">
        <v>9999999</v>
      </c>
      <c r="F39" s="2">
        <v>1</v>
      </c>
      <c r="G39" s="2" t="s">
        <v>29</v>
      </c>
      <c r="H39" s="4">
        <f>H38</f>
        <v>77</v>
      </c>
      <c r="I39" s="2">
        <f>I38</f>
        <v>115</v>
      </c>
      <c r="J39" s="12">
        <f>J38</f>
        <v>66.333333333333343</v>
      </c>
      <c r="K39" s="4">
        <f t="shared" si="27"/>
        <v>7628.3333333333348</v>
      </c>
      <c r="L39" s="4">
        <f t="shared" si="28"/>
        <v>8855</v>
      </c>
      <c r="M39" s="4">
        <f t="shared" si="29"/>
        <v>1226.6666666666652</v>
      </c>
      <c r="N39" s="4">
        <f>N38</f>
        <v>368.33333333333269</v>
      </c>
      <c r="O39" s="2">
        <f>O38</f>
        <v>180</v>
      </c>
      <c r="P39" s="4">
        <f>P38</f>
        <v>66.333333333333343</v>
      </c>
      <c r="Q39" s="4">
        <f t="shared" si="30"/>
        <v>11940.000000000002</v>
      </c>
      <c r="R39" s="4">
        <f t="shared" si="31"/>
        <v>13860</v>
      </c>
      <c r="S39" s="4">
        <f t="shared" si="32"/>
        <v>1919.9999999999982</v>
      </c>
      <c r="T39" s="4">
        <f>T38</f>
        <v>0</v>
      </c>
    </row>
    <row r="40" spans="2:20" x14ac:dyDescent="0.2">
      <c r="B40" s="3">
        <f>B37+1</f>
        <v>46091</v>
      </c>
      <c r="C40" s="2" t="s">
        <v>0</v>
      </c>
      <c r="D40" s="2" t="s">
        <v>13</v>
      </c>
      <c r="E40" s="2">
        <v>9999999</v>
      </c>
      <c r="F40" s="2">
        <v>2</v>
      </c>
      <c r="G40" s="2" t="s">
        <v>35</v>
      </c>
      <c r="H40" s="4">
        <f>H39</f>
        <v>77</v>
      </c>
      <c r="I40" s="2">
        <f>I39+I11</f>
        <v>162</v>
      </c>
      <c r="J40" s="12">
        <f>J37*I37/I40+J11*I11/I40</f>
        <v>67.397119341563794</v>
      </c>
      <c r="K40" s="4">
        <f>I40*J40</f>
        <v>10918.333333333334</v>
      </c>
      <c r="L40" s="4">
        <f t="shared" si="4"/>
        <v>12474</v>
      </c>
      <c r="M40" s="4">
        <f t="shared" si="5"/>
        <v>1555.6666666666661</v>
      </c>
      <c r="N40" s="4">
        <f>N39</f>
        <v>368.33333333333269</v>
      </c>
      <c r="O40" s="2">
        <f>O39+I11</f>
        <v>227</v>
      </c>
      <c r="P40" s="4">
        <f>P39*O39/O40+J11*I11/O40</f>
        <v>67.092511013215869</v>
      </c>
      <c r="Q40" s="4">
        <f t="shared" si="1"/>
        <v>15230.000000000002</v>
      </c>
      <c r="R40" s="4">
        <f t="shared" si="7"/>
        <v>17479</v>
      </c>
      <c r="S40" s="4">
        <f t="shared" si="8"/>
        <v>2248.9999999999982</v>
      </c>
      <c r="T40" s="4">
        <f>T39</f>
        <v>0</v>
      </c>
    </row>
    <row r="41" spans="2:20" x14ac:dyDescent="0.2">
      <c r="B41" s="3">
        <f>B38+1</f>
        <v>46091</v>
      </c>
      <c r="C41" s="2" t="s">
        <v>0</v>
      </c>
      <c r="D41" s="2" t="s">
        <v>13</v>
      </c>
      <c r="E41" s="2">
        <v>9999999</v>
      </c>
      <c r="F41" s="2">
        <v>3</v>
      </c>
      <c r="G41" s="2" t="s">
        <v>35</v>
      </c>
      <c r="H41" s="4">
        <f>H40</f>
        <v>77</v>
      </c>
      <c r="I41" s="2">
        <f>I40-I12</f>
        <v>130</v>
      </c>
      <c r="J41" s="12">
        <f>J40</f>
        <v>67.397119341563794</v>
      </c>
      <c r="K41" s="4">
        <f t="shared" ref="K41" si="33">I41*J41</f>
        <v>8761.625514403293</v>
      </c>
      <c r="L41" s="4">
        <f t="shared" ref="L41" si="34">I41*H41</f>
        <v>10010</v>
      </c>
      <c r="M41" s="4">
        <f t="shared" ref="M41" si="35">L41-K41</f>
        <v>1248.374485596707</v>
      </c>
      <c r="N41" s="4">
        <f>N40+(J12-J41)*I12</f>
        <v>387.62551440329128</v>
      </c>
      <c r="O41" s="2">
        <f>O40-I12</f>
        <v>195</v>
      </c>
      <c r="P41" s="4">
        <f>P40</f>
        <v>67.092511013215869</v>
      </c>
      <c r="Q41" s="4">
        <f t="shared" ref="Q41" si="36">O41*P41</f>
        <v>13083.039647577094</v>
      </c>
      <c r="R41" s="4">
        <f t="shared" ref="R41" si="37">O41*H41</f>
        <v>15015</v>
      </c>
      <c r="S41" s="4">
        <f t="shared" ref="S41" si="38">R41-Q41</f>
        <v>1931.960352422906</v>
      </c>
      <c r="T41" s="4">
        <f>T40+(J12-P41)*I12</f>
        <v>29.039647577092182</v>
      </c>
    </row>
    <row r="42" spans="2:20" s="16" customFormat="1" x14ac:dyDescent="0.2">
      <c r="B42" s="17">
        <f>B39</f>
        <v>46091</v>
      </c>
      <c r="C42" s="18" t="s">
        <v>0</v>
      </c>
      <c r="D42" s="18" t="s">
        <v>13</v>
      </c>
      <c r="E42" s="18">
        <v>9999999</v>
      </c>
      <c r="F42" s="18">
        <v>4</v>
      </c>
      <c r="G42" s="18" t="s">
        <v>30</v>
      </c>
      <c r="H42" s="19">
        <v>78</v>
      </c>
      <c r="I42" s="18">
        <f>I41</f>
        <v>130</v>
      </c>
      <c r="J42" s="19">
        <f>J41</f>
        <v>67.397119341563794</v>
      </c>
      <c r="K42" s="19">
        <f t="shared" ref="K42" si="39">I42*J42</f>
        <v>8761.625514403293</v>
      </c>
      <c r="L42" s="19">
        <f t="shared" ref="L42" si="40">I42*H42</f>
        <v>10140</v>
      </c>
      <c r="M42" s="19">
        <f t="shared" ref="M42" si="41">L42-K42</f>
        <v>1378.374485596707</v>
      </c>
      <c r="N42" s="19">
        <f>N41</f>
        <v>387.62551440329128</v>
      </c>
      <c r="O42" s="18">
        <f>O41</f>
        <v>195</v>
      </c>
      <c r="P42" s="19">
        <f>P41</f>
        <v>67.092511013215869</v>
      </c>
      <c r="Q42" s="19">
        <f t="shared" ref="Q42" si="42">O42*P42</f>
        <v>13083.039647577094</v>
      </c>
      <c r="R42" s="19">
        <f t="shared" ref="R42" si="43">O42*H42</f>
        <v>15210</v>
      </c>
      <c r="S42" s="19">
        <f t="shared" ref="S42" si="44">R42-Q42</f>
        <v>2126.960352422906</v>
      </c>
      <c r="T42" s="19">
        <f>T41</f>
        <v>29.039647577092182</v>
      </c>
    </row>
    <row r="43" spans="2:20" x14ac:dyDescent="0.2">
      <c r="B43" s="3">
        <f>B39+1</f>
        <v>46092</v>
      </c>
      <c r="C43" s="2" t="s">
        <v>0</v>
      </c>
      <c r="D43" s="2" t="s">
        <v>13</v>
      </c>
      <c r="E43" s="2">
        <v>9999999</v>
      </c>
      <c r="F43" s="2">
        <v>1</v>
      </c>
      <c r="G43" s="2" t="s">
        <v>29</v>
      </c>
      <c r="H43" s="4">
        <f>H42</f>
        <v>78</v>
      </c>
      <c r="I43" s="2">
        <f>I42</f>
        <v>130</v>
      </c>
      <c r="J43" s="12">
        <f>J42</f>
        <v>67.397119341563794</v>
      </c>
      <c r="K43" s="4">
        <f t="shared" ref="K43" si="45">I43*J43</f>
        <v>8761.625514403293</v>
      </c>
      <c r="L43" s="4">
        <f t="shared" ref="L43" si="46">I43*H43</f>
        <v>10140</v>
      </c>
      <c r="M43" s="4">
        <f t="shared" ref="M43" si="47">L43-K43</f>
        <v>1378.374485596707</v>
      </c>
      <c r="N43" s="4">
        <f>N42</f>
        <v>387.62551440329128</v>
      </c>
      <c r="O43" s="22">
        <f>O42-I10</f>
        <v>130</v>
      </c>
      <c r="P43" s="4">
        <f>P42</f>
        <v>67.092511013215869</v>
      </c>
      <c r="Q43" s="4">
        <f t="shared" ref="Q43" si="48">O43*P43</f>
        <v>8722.0264317180627</v>
      </c>
      <c r="R43" s="4">
        <f t="shared" ref="R43" si="49">O43*H43</f>
        <v>10140</v>
      </c>
      <c r="S43" s="4">
        <f t="shared" ref="S43" si="50">R43-Q43</f>
        <v>1417.9735682819373</v>
      </c>
      <c r="T43" s="23">
        <f>T42+(J10-P43)*I10</f>
        <v>348.02643171806068</v>
      </c>
    </row>
    <row r="44" spans="2:20" x14ac:dyDescent="0.2">
      <c r="B44" s="3">
        <f>B40+1</f>
        <v>46092</v>
      </c>
      <c r="C44" s="2" t="s">
        <v>0</v>
      </c>
      <c r="D44" s="2" t="s">
        <v>13</v>
      </c>
      <c r="E44" s="2">
        <v>9999999</v>
      </c>
      <c r="F44" s="2">
        <v>2</v>
      </c>
      <c r="G44" s="2" t="s">
        <v>30</v>
      </c>
      <c r="H44" s="4">
        <v>79</v>
      </c>
      <c r="I44" s="2">
        <f>I43</f>
        <v>130</v>
      </c>
      <c r="J44" s="12">
        <f>J40</f>
        <v>67.397119341563794</v>
      </c>
      <c r="K44" s="4">
        <f t="shared" si="3"/>
        <v>8761.625514403293</v>
      </c>
      <c r="L44" s="4">
        <f t="shared" si="4"/>
        <v>10270</v>
      </c>
      <c r="M44" s="4">
        <f t="shared" si="5"/>
        <v>1508.374485596707</v>
      </c>
      <c r="N44" s="4">
        <f>N43</f>
        <v>387.62551440329128</v>
      </c>
      <c r="O44" s="2">
        <f>O43</f>
        <v>130</v>
      </c>
      <c r="P44" s="4">
        <f>P43</f>
        <v>67.092511013215869</v>
      </c>
      <c r="Q44" s="4">
        <f t="shared" si="1"/>
        <v>8722.0264317180627</v>
      </c>
      <c r="R44" s="4">
        <f t="shared" si="7"/>
        <v>10270</v>
      </c>
      <c r="S44" s="4">
        <f t="shared" si="8"/>
        <v>1547.9735682819373</v>
      </c>
      <c r="T44" s="4">
        <f>T43</f>
        <v>348.02643171806068</v>
      </c>
    </row>
    <row r="45" spans="2:20" s="9" customFormat="1" x14ac:dyDescent="0.2">
      <c r="B45" s="10"/>
      <c r="C45" s="11"/>
      <c r="D45" s="11"/>
      <c r="E45" s="11"/>
      <c r="F45" s="11"/>
      <c r="G45" s="11"/>
      <c r="H45" s="4"/>
      <c r="I45" s="11"/>
      <c r="J45" s="12"/>
      <c r="K45" s="12"/>
      <c r="L45" s="12"/>
      <c r="M45" s="12"/>
      <c r="N45" s="12"/>
      <c r="O45" s="11"/>
      <c r="P45" s="12"/>
      <c r="Q45" s="12"/>
      <c r="R45" s="12"/>
      <c r="S45" s="12"/>
      <c r="T45" s="12"/>
    </row>
    <row r="46" spans="2:20" s="7" customFormat="1" x14ac:dyDescent="0.2">
      <c r="B46" s="8" t="s">
        <v>23</v>
      </c>
      <c r="C46" s="5"/>
      <c r="D46" s="5"/>
      <c r="E46" s="5"/>
      <c r="F46" s="5"/>
      <c r="G46" s="5"/>
      <c r="H46" s="6"/>
      <c r="I46" s="5"/>
      <c r="J46" s="6"/>
      <c r="K46" s="6"/>
      <c r="L46" s="6"/>
      <c r="M46" s="6"/>
      <c r="N46" s="6"/>
      <c r="O46" s="5"/>
      <c r="P46" s="6"/>
      <c r="Q46" s="6"/>
      <c r="R46" s="6"/>
      <c r="S46" s="6"/>
      <c r="T46" s="6"/>
    </row>
    <row r="47" spans="2:20" x14ac:dyDescent="0.2">
      <c r="B47" s="3">
        <v>46106</v>
      </c>
      <c r="C47" s="2" t="s">
        <v>0</v>
      </c>
      <c r="D47" s="2" t="s">
        <v>13</v>
      </c>
      <c r="E47" s="2">
        <v>9999999</v>
      </c>
      <c r="F47" s="2">
        <v>1</v>
      </c>
      <c r="G47" s="2" t="s">
        <v>29</v>
      </c>
      <c r="H47" s="4">
        <v>82</v>
      </c>
      <c r="I47" s="2">
        <f>I44</f>
        <v>130</v>
      </c>
      <c r="J47" s="12">
        <f>J44</f>
        <v>67.397119341563794</v>
      </c>
      <c r="K47" s="4">
        <f t="shared" si="3"/>
        <v>8761.625514403293</v>
      </c>
      <c r="L47" s="4">
        <f t="shared" si="4"/>
        <v>10660</v>
      </c>
      <c r="M47" s="4">
        <f t="shared" si="5"/>
        <v>1898.374485596707</v>
      </c>
      <c r="N47" s="4">
        <f>N44</f>
        <v>387.62551440329128</v>
      </c>
      <c r="O47" s="2">
        <f>O44</f>
        <v>130</v>
      </c>
      <c r="P47" s="4">
        <f>P44</f>
        <v>67.092511013215869</v>
      </c>
      <c r="Q47" s="4">
        <f t="shared" si="1"/>
        <v>8722.0264317180627</v>
      </c>
      <c r="R47" s="4">
        <f t="shared" si="7"/>
        <v>10660</v>
      </c>
      <c r="S47" s="4">
        <f t="shared" si="8"/>
        <v>1937.9735682819373</v>
      </c>
      <c r="T47" s="4">
        <f>T44</f>
        <v>348.02643171806068</v>
      </c>
    </row>
    <row r="48" spans="2:20" x14ac:dyDescent="0.2">
      <c r="B48" s="3">
        <v>46106</v>
      </c>
      <c r="C48" s="2" t="s">
        <v>0</v>
      </c>
      <c r="D48" s="2" t="s">
        <v>13</v>
      </c>
      <c r="E48" s="2">
        <v>9999999</v>
      </c>
      <c r="F48" s="2">
        <v>2</v>
      </c>
      <c r="G48" s="2" t="s">
        <v>35</v>
      </c>
      <c r="H48" s="4">
        <f>H47</f>
        <v>82</v>
      </c>
      <c r="I48" s="2">
        <f>I47+I13</f>
        <v>154</v>
      </c>
      <c r="J48" s="12">
        <f>J47*I47/I48+J13*I13/I48</f>
        <v>68.426139703917485</v>
      </c>
      <c r="K48" s="4">
        <f t="shared" ref="K48:K50" si="51">I48*J48</f>
        <v>10537.625514403293</v>
      </c>
      <c r="L48" s="4">
        <f t="shared" ref="L48:L50" si="52">I48*H48</f>
        <v>12628</v>
      </c>
      <c r="M48" s="4">
        <f t="shared" ref="M48:M50" si="53">L48-K48</f>
        <v>2090.374485596707</v>
      </c>
      <c r="N48" s="4">
        <f>N47</f>
        <v>387.62551440329128</v>
      </c>
      <c r="O48" s="2">
        <f>O47+I13</f>
        <v>154</v>
      </c>
      <c r="P48" s="4">
        <f>P47*O47/O48+J13*I13/O48</f>
        <v>68.169002803364037</v>
      </c>
      <c r="Q48" s="4">
        <f t="shared" ref="Q48:Q50" si="54">O48*P48</f>
        <v>10498.026431718063</v>
      </c>
      <c r="R48" s="4">
        <f t="shared" ref="R48:R50" si="55">O48*H48</f>
        <v>12628</v>
      </c>
      <c r="S48" s="4">
        <f t="shared" ref="S48:S50" si="56">R48-Q48</f>
        <v>2129.9735682819373</v>
      </c>
      <c r="T48" s="4">
        <f>T47</f>
        <v>348.02643171806068</v>
      </c>
    </row>
    <row r="49" spans="2:20" x14ac:dyDescent="0.2">
      <c r="B49" s="3">
        <v>46106</v>
      </c>
      <c r="C49" s="2" t="s">
        <v>0</v>
      </c>
      <c r="D49" s="2" t="s">
        <v>13</v>
      </c>
      <c r="E49" s="2">
        <v>9999999</v>
      </c>
      <c r="F49" s="2">
        <v>3</v>
      </c>
      <c r="G49" s="2" t="s">
        <v>35</v>
      </c>
      <c r="H49" s="4">
        <f>H48</f>
        <v>82</v>
      </c>
      <c r="I49" s="2">
        <f>I48-I14</f>
        <v>99</v>
      </c>
      <c r="J49" s="12">
        <f>J48</f>
        <v>68.426139703917485</v>
      </c>
      <c r="K49" s="4">
        <f t="shared" si="51"/>
        <v>6774.1878306878307</v>
      </c>
      <c r="L49" s="4">
        <f t="shared" si="52"/>
        <v>8118</v>
      </c>
      <c r="M49" s="4">
        <f t="shared" si="53"/>
        <v>1343.8121693121693</v>
      </c>
      <c r="N49" s="4">
        <f>N48+(J14-J49)*I14</f>
        <v>914.18783068782955</v>
      </c>
      <c r="O49" s="2">
        <f>O48-I14</f>
        <v>99</v>
      </c>
      <c r="P49" s="4">
        <f>P48</f>
        <v>68.169002803364037</v>
      </c>
      <c r="Q49" s="4">
        <f t="shared" si="54"/>
        <v>6748.7312775330392</v>
      </c>
      <c r="R49" s="4">
        <f t="shared" si="55"/>
        <v>8118</v>
      </c>
      <c r="S49" s="4">
        <f t="shared" si="56"/>
        <v>1369.2687224669608</v>
      </c>
      <c r="T49" s="4">
        <f>T48+(J14-P49)*I14</f>
        <v>888.73127753303856</v>
      </c>
    </row>
    <row r="50" spans="2:20" s="16" customFormat="1" x14ac:dyDescent="0.2">
      <c r="B50" s="17">
        <v>46106</v>
      </c>
      <c r="C50" s="18" t="s">
        <v>0</v>
      </c>
      <c r="D50" s="18" t="s">
        <v>13</v>
      </c>
      <c r="E50" s="18">
        <v>9999999</v>
      </c>
      <c r="F50" s="18">
        <v>4</v>
      </c>
      <c r="G50" s="18" t="s">
        <v>30</v>
      </c>
      <c r="H50" s="19">
        <v>84</v>
      </c>
      <c r="I50" s="18">
        <f>I49</f>
        <v>99</v>
      </c>
      <c r="J50" s="19">
        <f>J49</f>
        <v>68.426139703917485</v>
      </c>
      <c r="K50" s="19">
        <f t="shared" si="51"/>
        <v>6774.1878306878307</v>
      </c>
      <c r="L50" s="19">
        <f t="shared" si="52"/>
        <v>8316</v>
      </c>
      <c r="M50" s="19">
        <f t="shared" si="53"/>
        <v>1541.8121693121693</v>
      </c>
      <c r="N50" s="19">
        <f>N49</f>
        <v>914.18783068782955</v>
      </c>
      <c r="O50" s="18">
        <f>O49</f>
        <v>99</v>
      </c>
      <c r="P50" s="19">
        <f>P49</f>
        <v>68.169002803364037</v>
      </c>
      <c r="Q50" s="19">
        <f t="shared" si="54"/>
        <v>6748.7312775330392</v>
      </c>
      <c r="R50" s="19">
        <f t="shared" si="55"/>
        <v>8316</v>
      </c>
      <c r="S50" s="19">
        <f t="shared" si="56"/>
        <v>1567.2687224669608</v>
      </c>
      <c r="T50" s="19">
        <f>T49</f>
        <v>888.73127753303856</v>
      </c>
    </row>
    <row r="51" spans="2:20" s="9" customFormat="1" x14ac:dyDescent="0.2">
      <c r="B51" s="10"/>
      <c r="C51" s="11"/>
      <c r="D51" s="11"/>
      <c r="E51" s="11"/>
      <c r="F51" s="11"/>
      <c r="G51" s="11"/>
      <c r="H51" s="4"/>
      <c r="I51" s="11"/>
      <c r="J51" s="12"/>
      <c r="K51" s="12"/>
      <c r="L51" s="12"/>
      <c r="M51" s="12"/>
      <c r="N51" s="12"/>
      <c r="O51" s="11"/>
      <c r="P51" s="12"/>
      <c r="Q51" s="12"/>
      <c r="R51" s="12"/>
      <c r="S51" s="12"/>
      <c r="T51" s="12"/>
    </row>
    <row r="52" spans="2:20" s="7" customFormat="1" x14ac:dyDescent="0.2">
      <c r="B52" s="8" t="s">
        <v>22</v>
      </c>
      <c r="C52" s="5"/>
      <c r="D52" s="5"/>
      <c r="E52" s="5"/>
      <c r="F52" s="5"/>
      <c r="G52" s="5"/>
      <c r="H52" s="6"/>
      <c r="I52" s="5"/>
      <c r="J52" s="6"/>
      <c r="K52" s="6"/>
      <c r="L52" s="6"/>
      <c r="M52" s="6"/>
      <c r="N52" s="6"/>
      <c r="O52" s="5"/>
      <c r="P52" s="6"/>
      <c r="Q52" s="6"/>
      <c r="R52" s="6"/>
      <c r="S52" s="6"/>
      <c r="T52" s="6"/>
    </row>
    <row r="53" spans="2:20" x14ac:dyDescent="0.2">
      <c r="B53" s="3">
        <v>46106</v>
      </c>
      <c r="C53" s="2" t="s">
        <v>0</v>
      </c>
      <c r="D53" s="2" t="s">
        <v>13</v>
      </c>
      <c r="E53" s="2">
        <v>9999999</v>
      </c>
      <c r="F53" s="2">
        <v>1</v>
      </c>
      <c r="G53" s="2"/>
      <c r="H53" s="4">
        <v>85</v>
      </c>
      <c r="I53" s="2"/>
      <c r="J53" s="12"/>
      <c r="K53" s="4">
        <f t="shared" si="3"/>
        <v>0</v>
      </c>
      <c r="L53" s="4">
        <f t="shared" si="4"/>
        <v>0</v>
      </c>
      <c r="M53" s="4">
        <f t="shared" si="5"/>
        <v>0</v>
      </c>
      <c r="N53" s="4"/>
      <c r="O53" s="2"/>
      <c r="P53" s="4"/>
      <c r="Q53" s="4">
        <f t="shared" si="1"/>
        <v>0</v>
      </c>
      <c r="R53" s="4">
        <f t="shared" si="7"/>
        <v>0</v>
      </c>
      <c r="S53" s="4">
        <f t="shared" si="8"/>
        <v>0</v>
      </c>
      <c r="T53" s="4"/>
    </row>
    <row r="54" spans="2:20" x14ac:dyDescent="0.2">
      <c r="B54" s="3">
        <f t="shared" ref="B54:B60" si="57">B53+1</f>
        <v>46107</v>
      </c>
      <c r="C54" s="2" t="s">
        <v>0</v>
      </c>
      <c r="D54" s="2" t="s">
        <v>13</v>
      </c>
      <c r="E54" s="2">
        <v>9999999</v>
      </c>
      <c r="F54" s="2">
        <v>1</v>
      </c>
      <c r="G54" s="2"/>
      <c r="H54" s="4">
        <v>86</v>
      </c>
      <c r="I54" s="2"/>
      <c r="J54" s="12"/>
      <c r="K54" s="4">
        <f t="shared" si="3"/>
        <v>0</v>
      </c>
      <c r="L54" s="4">
        <f t="shared" si="4"/>
        <v>0</v>
      </c>
      <c r="M54" s="4">
        <f t="shared" si="5"/>
        <v>0</v>
      </c>
      <c r="N54" s="4"/>
      <c r="O54" s="2"/>
      <c r="P54" s="4"/>
      <c r="Q54" s="4">
        <f t="shared" si="1"/>
        <v>0</v>
      </c>
      <c r="R54" s="4">
        <f t="shared" si="7"/>
        <v>0</v>
      </c>
      <c r="S54" s="4">
        <f t="shared" si="8"/>
        <v>0</v>
      </c>
      <c r="T54" s="4"/>
    </row>
    <row r="55" spans="2:20" x14ac:dyDescent="0.2">
      <c r="B55" s="3">
        <f t="shared" si="57"/>
        <v>46108</v>
      </c>
      <c r="C55" s="2" t="s">
        <v>0</v>
      </c>
      <c r="D55" s="2" t="s">
        <v>13</v>
      </c>
      <c r="E55" s="2">
        <v>9999999</v>
      </c>
      <c r="F55" s="2">
        <v>1</v>
      </c>
      <c r="G55" s="2"/>
      <c r="H55" s="4">
        <v>87</v>
      </c>
      <c r="I55" s="2"/>
      <c r="J55" s="12"/>
      <c r="K55" s="4">
        <f t="shared" si="3"/>
        <v>0</v>
      </c>
      <c r="L55" s="4">
        <f t="shared" si="4"/>
        <v>0</v>
      </c>
      <c r="M55" s="4">
        <f t="shared" si="5"/>
        <v>0</v>
      </c>
      <c r="N55" s="4"/>
      <c r="O55" s="2"/>
      <c r="P55" s="4"/>
      <c r="Q55" s="4">
        <f t="shared" si="1"/>
        <v>0</v>
      </c>
      <c r="R55" s="4">
        <f t="shared" si="7"/>
        <v>0</v>
      </c>
      <c r="S55" s="4">
        <f t="shared" si="8"/>
        <v>0</v>
      </c>
      <c r="T55" s="4"/>
    </row>
    <row r="56" spans="2:20" x14ac:dyDescent="0.2">
      <c r="B56" s="3">
        <f t="shared" si="57"/>
        <v>46109</v>
      </c>
      <c r="C56" s="2" t="s">
        <v>0</v>
      </c>
      <c r="D56" s="2" t="s">
        <v>13</v>
      </c>
      <c r="E56" s="2">
        <v>9999999</v>
      </c>
      <c r="F56" s="2">
        <v>1</v>
      </c>
      <c r="G56" s="2"/>
      <c r="H56" s="4">
        <v>88</v>
      </c>
      <c r="I56" s="2"/>
      <c r="J56" s="12"/>
      <c r="K56" s="4">
        <f t="shared" si="3"/>
        <v>0</v>
      </c>
      <c r="L56" s="4">
        <f t="shared" si="4"/>
        <v>0</v>
      </c>
      <c r="M56" s="4">
        <f t="shared" si="5"/>
        <v>0</v>
      </c>
      <c r="N56" s="4"/>
      <c r="O56" s="2"/>
      <c r="P56" s="4"/>
      <c r="Q56" s="4">
        <f t="shared" si="1"/>
        <v>0</v>
      </c>
      <c r="R56" s="4">
        <f t="shared" si="7"/>
        <v>0</v>
      </c>
      <c r="S56" s="4">
        <f t="shared" si="8"/>
        <v>0</v>
      </c>
      <c r="T56" s="4"/>
    </row>
    <row r="57" spans="2:20" x14ac:dyDescent="0.2">
      <c r="B57" s="3">
        <f t="shared" si="57"/>
        <v>46110</v>
      </c>
      <c r="C57" s="2" t="s">
        <v>0</v>
      </c>
      <c r="D57" s="2" t="s">
        <v>13</v>
      </c>
      <c r="E57" s="2">
        <v>9999999</v>
      </c>
      <c r="F57" s="2">
        <v>1</v>
      </c>
      <c r="G57" s="2"/>
      <c r="H57" s="4">
        <v>89</v>
      </c>
      <c r="I57" s="2"/>
      <c r="J57" s="12"/>
      <c r="K57" s="4">
        <f t="shared" si="3"/>
        <v>0</v>
      </c>
      <c r="L57" s="4">
        <f t="shared" si="4"/>
        <v>0</v>
      </c>
      <c r="M57" s="4">
        <f t="shared" si="5"/>
        <v>0</v>
      </c>
      <c r="N57" s="4"/>
      <c r="O57" s="2"/>
      <c r="P57" s="4"/>
      <c r="Q57" s="4">
        <f t="shared" si="1"/>
        <v>0</v>
      </c>
      <c r="R57" s="4">
        <f t="shared" si="7"/>
        <v>0</v>
      </c>
      <c r="S57" s="4">
        <f t="shared" si="8"/>
        <v>0</v>
      </c>
      <c r="T57" s="4"/>
    </row>
    <row r="58" spans="2:20" x14ac:dyDescent="0.2">
      <c r="B58" s="3">
        <f t="shared" si="57"/>
        <v>46111</v>
      </c>
      <c r="C58" s="2" t="s">
        <v>0</v>
      </c>
      <c r="D58" s="2" t="s">
        <v>13</v>
      </c>
      <c r="E58" s="2">
        <v>9999999</v>
      </c>
      <c r="F58" s="2">
        <v>1</v>
      </c>
      <c r="G58" s="2"/>
      <c r="H58" s="4">
        <v>90</v>
      </c>
      <c r="I58" s="2"/>
      <c r="J58" s="12"/>
      <c r="K58" s="4">
        <f t="shared" si="3"/>
        <v>0</v>
      </c>
      <c r="L58" s="4">
        <f t="shared" si="4"/>
        <v>0</v>
      </c>
      <c r="M58" s="4">
        <f t="shared" si="5"/>
        <v>0</v>
      </c>
      <c r="N58" s="4"/>
      <c r="O58" s="2"/>
      <c r="P58" s="4"/>
      <c r="Q58" s="4">
        <f t="shared" si="1"/>
        <v>0</v>
      </c>
      <c r="R58" s="4">
        <f t="shared" si="7"/>
        <v>0</v>
      </c>
      <c r="S58" s="4">
        <f t="shared" si="8"/>
        <v>0</v>
      </c>
      <c r="T58" s="4"/>
    </row>
    <row r="59" spans="2:20" x14ac:dyDescent="0.2">
      <c r="B59" s="3">
        <f t="shared" si="57"/>
        <v>46112</v>
      </c>
      <c r="C59" s="2" t="s">
        <v>0</v>
      </c>
      <c r="D59" s="2" t="s">
        <v>13</v>
      </c>
      <c r="E59" s="2">
        <v>9999999</v>
      </c>
      <c r="F59" s="2">
        <v>1</v>
      </c>
      <c r="G59" s="2"/>
      <c r="H59" s="4">
        <v>91</v>
      </c>
      <c r="I59" s="2"/>
      <c r="J59" s="12"/>
      <c r="K59" s="4">
        <f t="shared" si="3"/>
        <v>0</v>
      </c>
      <c r="L59" s="4">
        <f t="shared" si="4"/>
        <v>0</v>
      </c>
      <c r="M59" s="4">
        <f t="shared" si="5"/>
        <v>0</v>
      </c>
      <c r="N59" s="4"/>
      <c r="O59" s="2"/>
      <c r="P59" s="4"/>
      <c r="Q59" s="4">
        <f t="shared" si="1"/>
        <v>0</v>
      </c>
      <c r="R59" s="4">
        <f t="shared" si="7"/>
        <v>0</v>
      </c>
      <c r="S59" s="4">
        <f t="shared" si="8"/>
        <v>0</v>
      </c>
      <c r="T59" s="4"/>
    </row>
    <row r="60" spans="2:20" x14ac:dyDescent="0.2">
      <c r="B60" s="3">
        <f t="shared" si="57"/>
        <v>46113</v>
      </c>
      <c r="C60" s="2" t="s">
        <v>0</v>
      </c>
      <c r="D60" s="2" t="s">
        <v>13</v>
      </c>
      <c r="E60" s="2">
        <v>9999999</v>
      </c>
      <c r="F60" s="2">
        <v>1</v>
      </c>
      <c r="G60" s="2"/>
      <c r="H60" s="4">
        <v>92</v>
      </c>
      <c r="I60" s="2"/>
      <c r="J60" s="12"/>
      <c r="K60" s="4">
        <f t="shared" si="3"/>
        <v>0</v>
      </c>
      <c r="L60" s="4">
        <f t="shared" si="4"/>
        <v>0</v>
      </c>
      <c r="M60" s="4">
        <f t="shared" si="5"/>
        <v>0</v>
      </c>
      <c r="N60" s="4"/>
      <c r="O60" s="2"/>
      <c r="P60" s="4"/>
      <c r="Q60" s="4">
        <f t="shared" si="1"/>
        <v>0</v>
      </c>
      <c r="R60" s="4">
        <f t="shared" si="7"/>
        <v>0</v>
      </c>
      <c r="S60" s="4">
        <f t="shared" si="8"/>
        <v>0</v>
      </c>
      <c r="T60" s="4"/>
    </row>
    <row r="61" spans="2:20" x14ac:dyDescent="0.2">
      <c r="B61" s="3">
        <f t="shared" ref="B61:B65" si="58">B60+1</f>
        <v>46114</v>
      </c>
      <c r="C61" s="2" t="s">
        <v>0</v>
      </c>
      <c r="D61" s="2" t="s">
        <v>13</v>
      </c>
      <c r="E61" s="2">
        <v>9999999</v>
      </c>
      <c r="F61" s="2">
        <v>1</v>
      </c>
      <c r="G61" s="2"/>
      <c r="H61" s="4">
        <v>93</v>
      </c>
      <c r="I61" s="2"/>
      <c r="J61" s="12"/>
      <c r="K61" s="4">
        <f t="shared" si="3"/>
        <v>0</v>
      </c>
      <c r="L61" s="4">
        <f t="shared" si="4"/>
        <v>0</v>
      </c>
      <c r="M61" s="4">
        <f t="shared" si="5"/>
        <v>0</v>
      </c>
      <c r="N61" s="4"/>
      <c r="O61" s="2"/>
      <c r="P61" s="4"/>
      <c r="Q61" s="4">
        <f t="shared" si="1"/>
        <v>0</v>
      </c>
      <c r="R61" s="4">
        <f t="shared" si="7"/>
        <v>0</v>
      </c>
      <c r="S61" s="4">
        <f t="shared" si="8"/>
        <v>0</v>
      </c>
      <c r="T61" s="4"/>
    </row>
    <row r="62" spans="2:20" x14ac:dyDescent="0.2">
      <c r="B62" s="3">
        <f t="shared" si="58"/>
        <v>46115</v>
      </c>
      <c r="C62" s="2" t="s">
        <v>0</v>
      </c>
      <c r="D62" s="2" t="s">
        <v>13</v>
      </c>
      <c r="E62" s="2">
        <v>9999999</v>
      </c>
      <c r="F62" s="2">
        <v>1</v>
      </c>
      <c r="G62" s="2"/>
      <c r="H62" s="4">
        <v>94</v>
      </c>
      <c r="I62" s="2"/>
      <c r="J62" s="12"/>
      <c r="K62" s="4">
        <f t="shared" si="3"/>
        <v>0</v>
      </c>
      <c r="L62" s="4">
        <f t="shared" si="4"/>
        <v>0</v>
      </c>
      <c r="M62" s="4">
        <f t="shared" si="5"/>
        <v>0</v>
      </c>
      <c r="N62" s="4"/>
      <c r="O62" s="2"/>
      <c r="P62" s="4"/>
      <c r="Q62" s="4">
        <f t="shared" si="1"/>
        <v>0</v>
      </c>
      <c r="R62" s="4">
        <f t="shared" si="7"/>
        <v>0</v>
      </c>
      <c r="S62" s="4">
        <f t="shared" si="8"/>
        <v>0</v>
      </c>
      <c r="T62" s="4"/>
    </row>
    <row r="63" spans="2:20" x14ac:dyDescent="0.2">
      <c r="B63" s="3">
        <f t="shared" si="58"/>
        <v>46116</v>
      </c>
      <c r="C63" s="2" t="s">
        <v>0</v>
      </c>
      <c r="D63" s="2" t="s">
        <v>13</v>
      </c>
      <c r="E63" s="2">
        <v>9999999</v>
      </c>
      <c r="F63" s="2">
        <v>1</v>
      </c>
      <c r="G63" s="2"/>
      <c r="H63" s="4">
        <v>95</v>
      </c>
      <c r="I63" s="2"/>
      <c r="J63" s="12"/>
      <c r="K63" s="4">
        <f t="shared" si="3"/>
        <v>0</v>
      </c>
      <c r="L63" s="4">
        <f t="shared" si="4"/>
        <v>0</v>
      </c>
      <c r="M63" s="4">
        <f t="shared" si="5"/>
        <v>0</v>
      </c>
      <c r="N63" s="4"/>
      <c r="O63" s="2"/>
      <c r="P63" s="4"/>
      <c r="Q63" s="4">
        <f t="shared" si="1"/>
        <v>0</v>
      </c>
      <c r="R63" s="4">
        <f t="shared" si="7"/>
        <v>0</v>
      </c>
      <c r="S63" s="4">
        <f t="shared" si="8"/>
        <v>0</v>
      </c>
      <c r="T63" s="4"/>
    </row>
    <row r="64" spans="2:20" x14ac:dyDescent="0.2">
      <c r="B64" s="3">
        <f t="shared" si="58"/>
        <v>46117</v>
      </c>
      <c r="C64" s="2" t="s">
        <v>0</v>
      </c>
      <c r="D64" s="2" t="s">
        <v>13</v>
      </c>
      <c r="E64" s="2">
        <v>9999999</v>
      </c>
      <c r="F64" s="2">
        <v>1</v>
      </c>
      <c r="G64" s="2"/>
      <c r="H64" s="4">
        <v>96</v>
      </c>
      <c r="I64" s="2"/>
      <c r="J64" s="12"/>
      <c r="K64" s="4">
        <f t="shared" si="3"/>
        <v>0</v>
      </c>
      <c r="L64" s="4">
        <f t="shared" si="4"/>
        <v>0</v>
      </c>
      <c r="M64" s="4">
        <f t="shared" si="5"/>
        <v>0</v>
      </c>
      <c r="N64" s="4"/>
      <c r="O64" s="2"/>
      <c r="P64" s="4"/>
      <c r="Q64" s="4">
        <f t="shared" si="1"/>
        <v>0</v>
      </c>
      <c r="R64" s="4">
        <f t="shared" si="7"/>
        <v>0</v>
      </c>
      <c r="S64" s="4">
        <f t="shared" si="8"/>
        <v>0</v>
      </c>
      <c r="T64" s="4"/>
    </row>
    <row r="65" spans="2:20" x14ac:dyDescent="0.2">
      <c r="B65" s="3">
        <f t="shared" si="58"/>
        <v>46118</v>
      </c>
      <c r="C65" s="2" t="s">
        <v>0</v>
      </c>
      <c r="D65" s="2" t="s">
        <v>13</v>
      </c>
      <c r="E65" s="2">
        <v>9999999</v>
      </c>
      <c r="F65" s="2">
        <v>1</v>
      </c>
      <c r="G65" s="2"/>
      <c r="H65" s="4">
        <v>97</v>
      </c>
      <c r="I65" s="2"/>
      <c r="J65" s="12"/>
      <c r="K65" s="4">
        <f t="shared" si="3"/>
        <v>0</v>
      </c>
      <c r="L65" s="4">
        <f t="shared" si="4"/>
        <v>0</v>
      </c>
      <c r="M65" s="4">
        <f t="shared" si="5"/>
        <v>0</v>
      </c>
      <c r="N65" s="4"/>
      <c r="O65" s="2"/>
      <c r="P65" s="4"/>
      <c r="Q65" s="4">
        <f t="shared" si="1"/>
        <v>0</v>
      </c>
      <c r="R65" s="4">
        <f t="shared" si="7"/>
        <v>0</v>
      </c>
      <c r="S65" s="4">
        <f t="shared" si="8"/>
        <v>0</v>
      </c>
      <c r="T65" s="4"/>
    </row>
  </sheetData>
  <pageMargins left="0.7" right="0.7" top="0.75" bottom="0.75" header="0.3" footer="0.3"/>
  <headerFooter>
    <oddFooter>&amp;L_x000D_&amp;1#&amp;"Calibri"&amp;7&amp;K000000 ## RESTRICTED ##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Company>United Overseas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Chin</dc:creator>
  <cp:lastModifiedBy>Kelvin Chin</cp:lastModifiedBy>
  <dcterms:created xsi:type="dcterms:W3CDTF">2026-03-06T06:39:00Z</dcterms:created>
  <dcterms:modified xsi:type="dcterms:W3CDTF">2026-03-06T09:36:44Z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418ee5-23e2-415c-a7a0-e3652cb3d681_Enabled">
    <vt:lpwstr>true</vt:lpwstr>
  </property>
  <property fmtid="{D5CDD505-2E9C-101B-9397-08002B2CF9AE}" pid="3" name="MSIP_Label_f1418ee5-23e2-415c-a7a0-e3652cb3d681_SetDate">
    <vt:lpwstr>2026-03-06T09:15:47Z</vt:lpwstr>
  </property>
  <property fmtid="{D5CDD505-2E9C-101B-9397-08002B2CF9AE}" pid="4" name="MSIP_Label_f1418ee5-23e2-415c-a7a0-e3652cb3d681_Method">
    <vt:lpwstr>Standard</vt:lpwstr>
  </property>
  <property fmtid="{D5CDD505-2E9C-101B-9397-08002B2CF9AE}" pid="5" name="MSIP_Label_f1418ee5-23e2-415c-a7a0-e3652cb3d681_Name">
    <vt:lpwstr>Restricted</vt:lpwstr>
  </property>
  <property fmtid="{D5CDD505-2E9C-101B-9397-08002B2CF9AE}" pid="6" name="MSIP_Label_f1418ee5-23e2-415c-a7a0-e3652cb3d681_SiteId">
    <vt:lpwstr>7e586855-d882-4339-9a56-032d0aa10991</vt:lpwstr>
  </property>
  <property fmtid="{D5CDD505-2E9C-101B-9397-08002B2CF9AE}" pid="7" name="MSIP_Label_f1418ee5-23e2-415c-a7a0-e3652cb3d681_ActionId">
    <vt:lpwstr>abcd1929-96e5-4d60-829c-5b112a9d486e</vt:lpwstr>
  </property>
  <property fmtid="{D5CDD505-2E9C-101B-9397-08002B2CF9AE}" pid="8" name="MSIP_Label_f1418ee5-23e2-415c-a7a0-e3652cb3d681_ContentBits">
    <vt:lpwstr>2</vt:lpwstr>
  </property>
</Properties>
</file>